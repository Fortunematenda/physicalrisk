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Wayne/Desktop/Physical Risk Governance Repositioning/Leakage Calculator /"/>
    </mc:Choice>
  </mc:AlternateContent>
  <xr:revisionPtr revIDLastSave="0" documentId="8_{EDB035EE-B1DB-E041-BBCC-2824A74BE53C}" xr6:coauthVersionLast="47" xr6:coauthVersionMax="47" xr10:uidLastSave="{00000000-0000-0000-0000-000000000000}"/>
  <bookViews>
    <workbookView xWindow="4340" yWindow="500" windowWidth="24460" windowHeight="16300" xr2:uid="{00000000-000D-0000-FFFF-FFFF00000000}"/>
  </bookViews>
  <sheets>
    <sheet name="Executive Report" sheetId="1" r:id="rId1"/>
    <sheet name="Assessment" sheetId="2" r:id="rId2"/>
    <sheet name="Scoring Model" sheetId="3" r:id="rId3"/>
    <sheet name="Assumptions" sheetId="4" r:id="rId4"/>
    <sheet name="Calculations" sheetId="5" r:id="rId5"/>
    <sheet name="Lists" sheetId="6" r:id="rId6"/>
    <sheet name="Methodology Not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5" l="1"/>
  <c r="B34" i="5" s="1"/>
  <c r="B24" i="5"/>
  <c r="B23" i="5"/>
  <c r="B20" i="5"/>
  <c r="B19" i="5"/>
  <c r="B18" i="5"/>
  <c r="B17" i="5"/>
  <c r="B21" i="5" s="1"/>
  <c r="B16" i="5"/>
  <c r="B15" i="5"/>
  <c r="B14" i="5"/>
  <c r="B12" i="5"/>
  <c r="B13" i="5" s="1"/>
  <c r="B11" i="5"/>
  <c r="B10" i="5"/>
  <c r="B9" i="5"/>
  <c r="B28" i="5" s="1"/>
  <c r="B8" i="5"/>
  <c r="B7" i="5"/>
  <c r="B6" i="5"/>
  <c r="B5" i="5"/>
  <c r="B4" i="5"/>
  <c r="B3" i="5"/>
  <c r="B2" i="5"/>
  <c r="B38" i="5" s="1"/>
  <c r="F51" i="2"/>
  <c r="G51" i="2" s="1"/>
  <c r="F50" i="2"/>
  <c r="G50" i="2" s="1"/>
  <c r="F49" i="2"/>
  <c r="G49" i="2" s="1"/>
  <c r="F48" i="2"/>
  <c r="G48" i="2" s="1"/>
  <c r="G47" i="2"/>
  <c r="F47" i="2"/>
  <c r="F46" i="2"/>
  <c r="G46" i="2" s="1"/>
  <c r="F45" i="2"/>
  <c r="G45" i="2" s="1"/>
  <c r="F44" i="2"/>
  <c r="G44" i="2" s="1"/>
  <c r="F43" i="2"/>
  <c r="G43" i="2" s="1"/>
  <c r="K36" i="2" s="1"/>
  <c r="B26" i="1" s="1"/>
  <c r="C26" i="1" s="1"/>
  <c r="F42" i="2"/>
  <c r="G42" i="2" s="1"/>
  <c r="F41" i="2"/>
  <c r="G41" i="2" s="1"/>
  <c r="F40" i="2"/>
  <c r="G40" i="2" s="1"/>
  <c r="K35" i="2" s="1"/>
  <c r="B25" i="1" s="1"/>
  <c r="C25" i="1" s="1"/>
  <c r="F39" i="2"/>
  <c r="G39" i="2" s="1"/>
  <c r="K38" i="2"/>
  <c r="F38" i="2"/>
  <c r="G38" i="2" s="1"/>
  <c r="F37" i="2"/>
  <c r="G37" i="2" s="1"/>
  <c r="K34" i="2" s="1"/>
  <c r="B24" i="1" s="1"/>
  <c r="C24" i="1" s="1"/>
  <c r="F36" i="2"/>
  <c r="G36" i="2" s="1"/>
  <c r="F35" i="2"/>
  <c r="G35" i="2" s="1"/>
  <c r="F34" i="2"/>
  <c r="G34" i="2" s="1"/>
  <c r="F33" i="2"/>
  <c r="G33" i="2" s="1"/>
  <c r="K32" i="2" s="1"/>
  <c r="B22" i="1" s="1"/>
  <c r="C22" i="1" s="1"/>
  <c r="F32" i="2"/>
  <c r="G32" i="2" s="1"/>
  <c r="B17" i="1"/>
  <c r="B16" i="1"/>
  <c r="B15" i="1"/>
  <c r="B14" i="1"/>
  <c r="B13" i="1"/>
  <c r="B12" i="1"/>
  <c r="B11" i="1"/>
  <c r="B10" i="1"/>
  <c r="B9" i="1"/>
  <c r="B8" i="1"/>
  <c r="B7" i="1"/>
  <c r="E17" i="1" l="1"/>
  <c r="K39" i="2"/>
  <c r="K48" i="2"/>
  <c r="K40" i="2"/>
  <c r="B31" i="5"/>
  <c r="E14" i="1"/>
  <c r="K33" i="2"/>
  <c r="B23" i="1" s="1"/>
  <c r="C23" i="1" s="1"/>
  <c r="K37" i="2"/>
  <c r="B35" i="5" l="1"/>
  <c r="E9" i="1"/>
  <c r="K43" i="2"/>
  <c r="B22" i="5"/>
  <c r="B29" i="5" s="1"/>
  <c r="E7" i="1"/>
  <c r="E8" i="1" s="1"/>
  <c r="E12" i="1" l="1"/>
  <c r="K46" i="2"/>
  <c r="K41" i="2"/>
  <c r="E15" i="1"/>
  <c r="B32" i="5"/>
  <c r="B30" i="5"/>
  <c r="B36" i="5" l="1"/>
  <c r="B37" i="5"/>
  <c r="E10" i="1"/>
  <c r="K44" i="2"/>
  <c r="B33" i="5"/>
  <c r="E16" i="1"/>
  <c r="K42" i="2"/>
  <c r="E13" i="1" l="1"/>
  <c r="K47" i="2"/>
  <c r="E11" i="1"/>
  <c r="K45" i="2"/>
</calcChain>
</file>

<file path=xl/sharedStrings.xml><?xml version="1.0" encoding="utf-8"?>
<sst xmlns="http://schemas.openxmlformats.org/spreadsheetml/2006/main" count="889" uniqueCount="499">
  <si>
    <t>Executive Security Cost Leakage Assessment™</t>
  </si>
  <si>
    <t>Security Cost Leakage Index™ (SCLI™) – Executive Assurance Gap™ Decision Engine v1.1</t>
  </si>
  <si>
    <t>This report estimates the Executive Assurance Gap™, annual Security Cost Leakage exposure, recoverable value range and priority review areas. It is a preliminary decision-support assessment, not an audit finding.</t>
  </si>
  <si>
    <t>Organisation Profile</t>
  </si>
  <si>
    <t>Executive Output</t>
  </si>
  <si>
    <t>Organisation</t>
  </si>
  <si>
    <t>Overall SCLI™ Risk Score</t>
  </si>
  <si>
    <t>Industry</t>
  </si>
  <si>
    <t>Executive Assurance Gap™</t>
  </si>
  <si>
    <t>Total Sites / Facilities</t>
  </si>
  <si>
    <t>Minimum Leakage Estimate</t>
  </si>
  <si>
    <t>Guard Force Total</t>
  </si>
  <si>
    <t>Likely Leakage Estimate</t>
  </si>
  <si>
    <t>Annual Security Contract Value incl. Ad Hoc Services</t>
  </si>
  <si>
    <t>Maximum Exposure Estimate</t>
  </si>
  <si>
    <t>Estimated Annual Losses – Low</t>
  </si>
  <si>
    <t>Estimated Recoverable Low</t>
  </si>
  <si>
    <t>Estimated Annual Losses – High</t>
  </si>
  <si>
    <t>Estimated Recoverable High</t>
  </si>
  <si>
    <t>Internal Security Team Size</t>
  </si>
  <si>
    <t>Minimum Leakage %</t>
  </si>
  <si>
    <t>Security Vendors</t>
  </si>
  <si>
    <t>Likely Leakage %</t>
  </si>
  <si>
    <t>Integrated Technology Coverage</t>
  </si>
  <si>
    <t>Maximum Exposure %</t>
  </si>
  <si>
    <t>Technology Used for SLA Verification</t>
  </si>
  <si>
    <t>Assessment Confidence</t>
  </si>
  <si>
    <t>Category Risk Scores</t>
  </si>
  <si>
    <t>Category</t>
  </si>
  <si>
    <t>Risk Score</t>
  </si>
  <si>
    <t>Interpretation</t>
  </si>
  <si>
    <t>Executive Assurance</t>
  </si>
  <si>
    <t>Contract and SLA Enforcement</t>
  </si>
  <si>
    <t>Labour Deployment</t>
  </si>
  <si>
    <t>Technology Verification</t>
  </si>
  <si>
    <t>Loss, Reporting and Value</t>
  </si>
  <si>
    <t>Executive Interpretation</t>
  </si>
  <si>
    <t>Based on the current responses, the organisation should treat the result as a preliminary indication of the Executive Assurance Gap™ and possible Security Cost Leakage exposure. The assessment does not conclude that money has been lost. It identifies where the organisation may lack sufficient independent evidence to prove that contracted security performance was actually delivered.</t>
  </si>
  <si>
    <t>The strengthened model integrates the April leakage calculator logic: manual-record reliance, delayed patrol reporting, proof gaps, internal capacity gaps, technology coverage gaps, allowance complexity, guard-force scale, site-count complexity and contract-value complexity now influence the leakage estimate alongside the 20 executive-assurance questions.</t>
  </si>
  <si>
    <t>The recommended next step is an Independent Executive Security Assurance Review focused on validating the highest-risk categories, testing a representative sample of sites, reconciling supplier performance against the Service Level Agreement, and quantifying validated recoverable or avoidable value.</t>
  </si>
  <si>
    <t>Recommended Executive Actions</t>
  </si>
  <si>
    <t>1</t>
  </si>
  <si>
    <t>Validate annual security contract value, including ad hoc services and variations.</t>
  </si>
  <si>
    <t>2</t>
  </si>
  <si>
    <t>Confirm whether SLA obligations are independently verified or accepted through supplier reporting.</t>
  </si>
  <si>
    <t>3</t>
  </si>
  <si>
    <t>Review the highest-risk SCLI™ category scores and identify the strongest leakage drivers.</t>
  </si>
  <si>
    <t>4</t>
  </si>
  <si>
    <t>Run a representative site sample to test the gap between contracted activity and independently verified evidence.</t>
  </si>
  <si>
    <t>5</t>
  </si>
  <si>
    <t>Use a MOSS assessment to validate actual leakage, evidence, recoverable value and governance remediation priorities.</t>
  </si>
  <si>
    <t>Executive Security Cost Leakage Assessment™ – SCLI™ v1.1</t>
  </si>
  <si>
    <t>Executive Assurance Gap™ + Security Cost Leakage Index™ preliminary decision engine. Complete yellow cells only.</t>
  </si>
  <si>
    <t>ID</t>
  </si>
  <si>
    <t>Input</t>
  </si>
  <si>
    <t>Guidance</t>
  </si>
  <si>
    <t>Response</t>
  </si>
  <si>
    <t>Unit/Format</t>
  </si>
  <si>
    <t>C1</t>
  </si>
  <si>
    <t>Organisation name</t>
  </si>
  <si>
    <t>Enter organisation or business unit name</t>
  </si>
  <si>
    <t>ABC Group Limited</t>
  </si>
  <si>
    <t>Text</t>
  </si>
  <si>
    <t>C2</t>
  </si>
  <si>
    <t>Industry vertical</t>
  </si>
  <si>
    <t>Select closest industry</t>
  </si>
  <si>
    <t>Government / Public Infrastructure</t>
  </si>
  <si>
    <t>Dropdown</t>
  </si>
  <si>
    <t>C3</t>
  </si>
  <si>
    <t>Total sites / facilities</t>
  </si>
  <si>
    <t>Count all sites covered by security arrangements</t>
  </si>
  <si>
    <t>Count</t>
  </si>
  <si>
    <t>C4</t>
  </si>
  <si>
    <t>Guard force total</t>
  </si>
  <si>
    <t>Total contracted guards/officers across all sites and shifts</t>
  </si>
  <si>
    <t>C5</t>
  </si>
  <si>
    <t>Annual security contract value incl. ad hoc services</t>
  </si>
  <si>
    <t>Include guarding, extra services, variations and recurring technology service costs</t>
  </si>
  <si>
    <t>Currency</t>
  </si>
  <si>
    <t>C6</t>
  </si>
  <si>
    <t>Estimated annual security losses – low</t>
  </si>
  <si>
    <t>Conservative range for losses, claims, theft, shrinkage or avoidable incidents</t>
  </si>
  <si>
    <t>C7</t>
  </si>
  <si>
    <t>Estimated annual security losses – high</t>
  </si>
  <si>
    <t>Upper range for losses, claims, theft, shrinkage or avoidable incidents</t>
  </si>
  <si>
    <t>C8</t>
  </si>
  <si>
    <t>Internal security team size</t>
  </si>
  <si>
    <t>Full-time internal staff responsible for security management and governance</t>
  </si>
  <si>
    <t>C9</t>
  </si>
  <si>
    <t>Number of contracted security vendors</t>
  </si>
  <si>
    <t>Guarding, monitoring, technology and specialist providers</t>
  </si>
  <si>
    <t>C10</t>
  </si>
  <si>
    <t>Integrated technology footprint coverage %</t>
  </si>
  <si>
    <t>Share of geographic footprint covered by integrated surveillance/access/patrol monitoring</t>
  </si>
  <si>
    <t>Percent</t>
  </si>
  <si>
    <t>C11</t>
  </si>
  <si>
    <t>Technology used for independent SLA verification %</t>
  </si>
  <si>
    <t>Extent to which security technology is actively used to verify SLA obligations</t>
  </si>
  <si>
    <t>C12</t>
  </si>
  <si>
    <t>Manual security records for service verification %</t>
  </si>
  <si>
    <t>Share of service verification dependent on manual registers/OBs/paper records</t>
  </si>
  <si>
    <t>C13</t>
  </si>
  <si>
    <t>Centralised monitored surveillance coverage %</t>
  </si>
  <si>
    <t>Sites where surveillance materially supports access/patrol/incident verification</t>
  </si>
  <si>
    <t>C14</t>
  </si>
  <si>
    <t>Electronic access control coverage %</t>
  </si>
  <si>
    <t>Sites with usable electronic access control evidence</t>
  </si>
  <si>
    <t>C15</t>
  </si>
  <si>
    <t>Real-time patrol monitoring coverage %</t>
  </si>
  <si>
    <t>Sites where patrol monitoring is available and reviewed in real time</t>
  </si>
  <si>
    <t>C16</t>
  </si>
  <si>
    <t>Delayed patrol reporting %</t>
  </si>
  <si>
    <t>Patrol data downloaded/reviewed after shift or monthly</t>
  </si>
  <si>
    <t>C17</t>
  </si>
  <si>
    <t>Proof of supervisory/management visits %</t>
  </si>
  <si>
    <t>Independent proof quality of supervisory and management site visits</t>
  </si>
  <si>
    <t>C18</t>
  </si>
  <si>
    <t>Proof of guard attendance verification %</t>
  </si>
  <si>
    <t>Independent proof quality of guard attendance verification</t>
  </si>
  <si>
    <t>C19</t>
  </si>
  <si>
    <t>Performance allowance paid</t>
  </si>
  <si>
    <t>YES/NO</t>
  </si>
  <si>
    <t>YES</t>
  </si>
  <si>
    <t>C20</t>
  </si>
  <si>
    <t>Night allowance paid</t>
  </si>
  <si>
    <t>C21</t>
  </si>
  <si>
    <t>Firearm allowance paid</t>
  </si>
  <si>
    <t>C22</t>
  </si>
  <si>
    <t>Site allowance paid</t>
  </si>
  <si>
    <t>C23</t>
  </si>
  <si>
    <t>National Key Point allowance paid</t>
  </si>
  <si>
    <t>NO</t>
  </si>
  <si>
    <t>Question</t>
  </si>
  <si>
    <t>Weight</t>
  </si>
  <si>
    <t>Weighted Score</t>
  </si>
  <si>
    <t>Comment</t>
  </si>
  <si>
    <t>Output</t>
  </si>
  <si>
    <t>Q1</t>
  </si>
  <si>
    <t>Do you have a Service Level Agreement as part of the security service agreement?</t>
  </si>
  <si>
    <t>Yes – partial/basic SLA</t>
  </si>
  <si>
    <t>Q2</t>
  </si>
  <si>
    <t>If the Board asked tomorrow, could management certify that every contracted security service was independently verified over the past 12 months?</t>
  </si>
  <si>
    <t>Unknown</t>
  </si>
  <si>
    <t>Q3</t>
  </si>
  <si>
    <t>How much of your annual security expenditure is independently verified rather than accepted through supplier reporting?</t>
  </si>
  <si>
    <t>21–40%</t>
  </si>
  <si>
    <t>Q4</t>
  </si>
  <si>
    <t>If your largest guarding contract was audited tomorrow, what percentage of contractual obligations could be supported by independently verified evidence?</t>
  </si>
  <si>
    <t>0–20%</t>
  </si>
  <si>
    <t>Q5</t>
  </si>
  <si>
    <t>How much money did the organisation recover through SLA penalties or service credits during the past financial year?</t>
  </si>
  <si>
    <t>Less than 1% of annual contract value</t>
  </si>
  <si>
    <t>Q6</t>
  </si>
  <si>
    <t>Has the security deployment model been independently validated against current operational risk during the past 24 months?</t>
  </si>
  <si>
    <t>Overall SCLI Risk Score</t>
  </si>
  <si>
    <t>Q7</t>
  </si>
  <si>
    <t>How many guard posts currently exist mainly because they have always existed?</t>
  </si>
  <si>
    <t>Contract Value</t>
  </si>
  <si>
    <t>Q8</t>
  </si>
  <si>
    <t>How reliant is your organisation on manual security records for service verification?</t>
  </si>
  <si>
    <t>High reliance</t>
  </si>
  <si>
    <t>Assessment Coverage Quality</t>
  </si>
  <si>
    <t>Q9</t>
  </si>
  <si>
    <t>If security enabling technology is integrated, how much of the geographical footprint is effectively covered?</t>
  </si>
  <si>
    <t>Q10</t>
  </si>
  <si>
    <t>To what extent is security enabling technology actively used for independent verification of SLA obligations?</t>
  </si>
  <si>
    <t>Q11</t>
  </si>
  <si>
    <t>Do executive reports include an independent assurance score or evidence-based performance view rather than only operational activity?</t>
  </si>
  <si>
    <t>No – mostly activity reporting</t>
  </si>
  <si>
    <t>Q12</t>
  </si>
  <si>
    <t>Are security incidents and losses reconciled against SLA performance, contractor obligations and potential penalties?</t>
  </si>
  <si>
    <t>Estimated Minimum Leakage</t>
  </si>
  <si>
    <t>Q13</t>
  </si>
  <si>
    <t>Are ad hoc additional security services formally approved, tracked and reconciled against contract terms?</t>
  </si>
  <si>
    <t>Some post-facto review</t>
  </si>
  <si>
    <t>Estimated Likely Leakage</t>
  </si>
  <si>
    <t>Q14</t>
  </si>
  <si>
    <t>Are supplier reports independently sampled or validated every month across a representative site set?</t>
  </si>
  <si>
    <t>Rarely</t>
  </si>
  <si>
    <t>Estimated Maximum Exposure</t>
  </si>
  <si>
    <t>Q15</t>
  </si>
  <si>
    <t>Is supplier non-performance linked to formal consequence management in monthly or quarterly governance forums?</t>
  </si>
  <si>
    <t>Partial/inconsistent</t>
  </si>
  <si>
    <t>Q16</t>
  </si>
  <si>
    <t>Does your PMIS / technology stack cover the entire organisation sufficiently to support independent service verification?</t>
  </si>
  <si>
    <t>Q17</t>
  </si>
  <si>
    <t>Can executive management quantify the financial value created by the current security programme?</t>
  </si>
  <si>
    <t>No</t>
  </si>
  <si>
    <t>Confidence</t>
  </si>
  <si>
    <t>Q18</t>
  </si>
  <si>
    <t>Is the internal security function adequately resourced to independently verify SLA performance nationally?</t>
  </si>
  <si>
    <t>Q19</t>
  </si>
  <si>
    <t>How frequently are high-risk sites subjected to independent assurance review?</t>
  </si>
  <si>
    <t>Ad hoc</t>
  </si>
  <si>
    <t>Q20</t>
  </si>
  <si>
    <t>Were SLA penalties identified and applied during the last 12 months where performance failures occurred?</t>
  </si>
  <si>
    <t>Identified but not applied</t>
  </si>
  <si>
    <t>Question ID</t>
  </si>
  <si>
    <t>Response Option</t>
  </si>
  <si>
    <t>Lookup Key</t>
  </si>
  <si>
    <t>Yes – comprehensive SLA</t>
  </si>
  <si>
    <t>Q1Yes – comprehensive SLA</t>
  </si>
  <si>
    <t>Q1Yes – partial/basic SLA</t>
  </si>
  <si>
    <t>No formal SLA</t>
  </si>
  <si>
    <t>Q1No formal SLA</t>
  </si>
  <si>
    <t>Q1Unknown</t>
  </si>
  <si>
    <t>Yes</t>
  </si>
  <si>
    <t>Q2Yes</t>
  </si>
  <si>
    <t>Partially</t>
  </si>
  <si>
    <t>Q2Partially</t>
  </si>
  <si>
    <t>Q2No</t>
  </si>
  <si>
    <t>Q2Unknown</t>
  </si>
  <si>
    <t>Q30–20%</t>
  </si>
  <si>
    <t>Q321–40%</t>
  </si>
  <si>
    <t>41–60%</t>
  </si>
  <si>
    <t>Q341–60%</t>
  </si>
  <si>
    <t>61–80%</t>
  </si>
  <si>
    <t>Q361–80%</t>
  </si>
  <si>
    <t>81–100%</t>
  </si>
  <si>
    <t>Q381–100%</t>
  </si>
  <si>
    <t>Q3Unknown</t>
  </si>
  <si>
    <t>Q40–20%</t>
  </si>
  <si>
    <t>Q421–40%</t>
  </si>
  <si>
    <t>Q441–60%</t>
  </si>
  <si>
    <t>Q461–80%</t>
  </si>
  <si>
    <t>Q481–100%</t>
  </si>
  <si>
    <t>Q4Unknown</t>
  </si>
  <si>
    <t>Q90–20%</t>
  </si>
  <si>
    <t>Q921–40%</t>
  </si>
  <si>
    <t>Q941–60%</t>
  </si>
  <si>
    <t>Q961–80%</t>
  </si>
  <si>
    <t>Q981–100%</t>
  </si>
  <si>
    <t>Q9Unknown</t>
  </si>
  <si>
    <t>Q100–20%</t>
  </si>
  <si>
    <t>Q1021–40%</t>
  </si>
  <si>
    <t>Q1041–60%</t>
  </si>
  <si>
    <t>Q1061–80%</t>
  </si>
  <si>
    <t>Q1081–100%</t>
  </si>
  <si>
    <t>Q10Unknown</t>
  </si>
  <si>
    <t>Q160–20%</t>
  </si>
  <si>
    <t>Q1621–40%</t>
  </si>
  <si>
    <t>Q1641–60%</t>
  </si>
  <si>
    <t>Q1661–80%</t>
  </si>
  <si>
    <t>Q1681–100%</t>
  </si>
  <si>
    <t>Q16Unknown</t>
  </si>
  <si>
    <t>None recovered</t>
  </si>
  <si>
    <t>Q5None recovered</t>
  </si>
  <si>
    <t>Q5Less than 1% of annual contract value</t>
  </si>
  <si>
    <t>1–3% of annual contract value</t>
  </si>
  <si>
    <t>Q51–3% of annual contract value</t>
  </si>
  <si>
    <t>More than 3% of annual contract value</t>
  </si>
  <si>
    <t>Q5More than 3% of annual contract value</t>
  </si>
  <si>
    <t>Q5Unknown</t>
  </si>
  <si>
    <t>Yes – independently validated</t>
  </si>
  <si>
    <t>Q6Yes – independently validated</t>
  </si>
  <si>
    <t>Partially validated</t>
  </si>
  <si>
    <t>Q6Partially validated</t>
  </si>
  <si>
    <t>Q6No</t>
  </si>
  <si>
    <t>Q6Unknown</t>
  </si>
  <si>
    <t>None</t>
  </si>
  <si>
    <t>Q7None</t>
  </si>
  <si>
    <t>Few</t>
  </si>
  <si>
    <t>Q7Few</t>
  </si>
  <si>
    <t>Many</t>
  </si>
  <si>
    <t>Q7Many</t>
  </si>
  <si>
    <t>Q7Unknown</t>
  </si>
  <si>
    <t>Low reliance</t>
  </si>
  <si>
    <t>Q8Low reliance</t>
  </si>
  <si>
    <t>Moderate reliance</t>
  </si>
  <si>
    <t>Q8Moderate reliance</t>
  </si>
  <si>
    <t>Q8High reliance</t>
  </si>
  <si>
    <t>Almost entirely manual</t>
  </si>
  <si>
    <t>Q8Almost entirely manual</t>
  </si>
  <si>
    <t>Yes – evidence-based assurance reporting</t>
  </si>
  <si>
    <t>Q11Yes – evidence-based assurance reporting</t>
  </si>
  <si>
    <t>Q11Partially</t>
  </si>
  <si>
    <t>Q11No – mostly activity reporting</t>
  </si>
  <si>
    <t>Q11Unknown</t>
  </si>
  <si>
    <t>Q12Yes</t>
  </si>
  <si>
    <t>Q12Partially</t>
  </si>
  <si>
    <t>Q12No</t>
  </si>
  <si>
    <t>Q12Unknown</t>
  </si>
  <si>
    <t>Formal pre-approval and reconciliation</t>
  </si>
  <si>
    <t>Q13Formal pre-approval and reconciliation</t>
  </si>
  <si>
    <t>Q13Some post-facto review</t>
  </si>
  <si>
    <t>Weak control</t>
  </si>
  <si>
    <t>Q13Weak control</t>
  </si>
  <si>
    <t>Q13Unknown</t>
  </si>
  <si>
    <t>Yes – representative monthly sampling</t>
  </si>
  <si>
    <t>Q14Yes – representative monthly sampling</t>
  </si>
  <si>
    <t>Selected sites only</t>
  </si>
  <si>
    <t>Q14Selected sites only</t>
  </si>
  <si>
    <t>Q14Rarely</t>
  </si>
  <si>
    <t>Q14No</t>
  </si>
  <si>
    <t>Yes – formal consequence management</t>
  </si>
  <si>
    <t>Q15Yes – formal consequence management</t>
  </si>
  <si>
    <t>Q15Partial/inconsistent</t>
  </si>
  <si>
    <t>Q15No</t>
  </si>
  <si>
    <t>Q15Unknown</t>
  </si>
  <si>
    <t>Q17Yes</t>
  </si>
  <si>
    <t>Q17Partially</t>
  </si>
  <si>
    <t>Q17No</t>
  </si>
  <si>
    <t>Q17Unknown</t>
  </si>
  <si>
    <t>Q18Yes</t>
  </si>
  <si>
    <t>Q18Partially</t>
  </si>
  <si>
    <t>Q18No</t>
  </si>
  <si>
    <t>Q18Unknown</t>
  </si>
  <si>
    <t>Monthly</t>
  </si>
  <si>
    <t>Q19Monthly</t>
  </si>
  <si>
    <t>Quarterly</t>
  </si>
  <si>
    <t>Q19Quarterly</t>
  </si>
  <si>
    <t>Q19Ad hoc</t>
  </si>
  <si>
    <t>Q19None</t>
  </si>
  <si>
    <t>Q19Unknown</t>
  </si>
  <si>
    <t>Yes – identified and applied</t>
  </si>
  <si>
    <t>Q20Yes – identified and applied</t>
  </si>
  <si>
    <t>Q20Identified but not applied</t>
  </si>
  <si>
    <t>No penalties identified</t>
  </si>
  <si>
    <t>Q20No penalties identified</t>
  </si>
  <si>
    <t>No SLA</t>
  </si>
  <si>
    <t>Q20No SLA</t>
  </si>
  <si>
    <t>Q20Unknown</t>
  </si>
  <si>
    <t>Model Assumptions and Weightings</t>
  </si>
  <si>
    <t>Value</t>
  </si>
  <si>
    <t>Format</t>
  </si>
  <si>
    <t>Description</t>
  </si>
  <si>
    <t>Minimum leakage base floor</t>
  </si>
  <si>
    <t>percent</t>
  </si>
  <si>
    <t>Conservative leakage floor present in large outsourced guarding environments.</t>
  </si>
  <si>
    <t>Minimum leakage | Manual record weight</t>
  </si>
  <si>
    <t>Higher manual dependence raises unverifiable service delivery risk.</t>
  </si>
  <si>
    <t>Minimum leakage | Delayed patrol reporting weight</t>
  </si>
  <si>
    <t>After-shift or monthly review weakens recoverability and timely correction.</t>
  </si>
  <si>
    <t>Minimum leakage | Supervisory proof gap weight</t>
  </si>
  <si>
    <t>Lower proof of supervisory visits raises baseline leakage risk.</t>
  </si>
  <si>
    <t>Minimum leakage | Attendance proof gap weight</t>
  </si>
  <si>
    <t>Lower proof of attendance verification raises baseline leakage risk.</t>
  </si>
  <si>
    <t>Minimum leakage | Internal capacity gap weight</t>
  </si>
  <si>
    <t>Insufficient internal governance headcount raises baseline risk.</t>
  </si>
  <si>
    <t>Minimum leakage | Scale complexity weight</t>
  </si>
  <si>
    <t>Guard force, spend, premises count, and footprint complexity create coordination risk.</t>
  </si>
  <si>
    <t>Minimum leakage | Allowance complexity weight</t>
  </si>
  <si>
    <t>More active allowance types raise baseline validation complexity.</t>
  </si>
  <si>
    <t>Likely reality | Surveillance gap weight</t>
  </si>
  <si>
    <t>Limited monitored surveillance coverage reduces proof quality.</t>
  </si>
  <si>
    <t>Likely reality | Access control gap weight</t>
  </si>
  <si>
    <t>Limited central access control coverage reduces certainty.</t>
  </si>
  <si>
    <t>Likely reality | Electronic record monitoring gap weight</t>
  </si>
  <si>
    <t>Electronic data not centrally monitored loses much of its value.</t>
  </si>
  <si>
    <t>Likely reality | Real-time patrol gap weight</t>
  </si>
  <si>
    <t>Missing real-time patrol visibility increases variance between invoice and delivery.</t>
  </si>
  <si>
    <t>Likely reality | Manual record weight</t>
  </si>
  <si>
    <t>Manual records further widen likely leakage above the minimum band.</t>
  </si>
  <si>
    <t>Likely reality | Scale complexity weight</t>
  </si>
  <si>
    <t>Complex estate sizes widen likely leakage.</t>
  </si>
  <si>
    <t>Likely reality | Allowance complexity weight</t>
  </si>
  <si>
    <t>Allowance admin complexity increases likely leakage.</t>
  </si>
  <si>
    <t>Maximum exposure | Manual record weight</t>
  </si>
  <si>
    <t>Worst-case slippage is highest where proof is manual.</t>
  </si>
  <si>
    <t>Maximum exposure | Delayed patrol reporting weight</t>
  </si>
  <si>
    <t>Delayed reporting creates broad exposure.</t>
  </si>
  <si>
    <t>Maximum exposure | Supervisory proof gap weight</t>
  </si>
  <si>
    <t>Weak supervisory proof expands loss envelope.</t>
  </si>
  <si>
    <t>Maximum exposure | Attendance proof gap weight</t>
  </si>
  <si>
    <t>Weak attendance proof expands loss envelope.</t>
  </si>
  <si>
    <t>Maximum exposure | Surveillance gap weight</t>
  </si>
  <si>
    <t>Low surveillance verification expands exposure.</t>
  </si>
  <si>
    <t>Maximum exposure | Electronic record monitoring gap weight</t>
  </si>
  <si>
    <t>Electronic data not watched centrally provides weak defensibility.</t>
  </si>
  <si>
    <t>Maximum exposure | Internal capacity gap weight</t>
  </si>
  <si>
    <t>Low governance staffing expands maximum loss envelope.</t>
  </si>
  <si>
    <t>Maximum exposure | Allowance complexity weight</t>
  </si>
  <si>
    <t>Allowance complexity widens exposure in the upper band.</t>
  </si>
  <si>
    <t>Guard force saturation point</t>
  </si>
  <si>
    <t>count</t>
  </si>
  <si>
    <t>At or above this scale the model assumes full guard-force complexity.</t>
  </si>
  <si>
    <t>Annual cost saturation point</t>
  </si>
  <si>
    <t>currency</t>
  </si>
  <si>
    <t>At or above this spend the model assumes full spend complexity.</t>
  </si>
  <si>
    <t>Protected premises saturation point</t>
  </si>
  <si>
    <t>At or above this estate size the model assumes full site complexity.</t>
  </si>
  <si>
    <t>Geographical footprint saturation point</t>
  </si>
  <si>
    <t>At or above 9 provinces or regions the model assumes full footprint complexity.</t>
  </si>
  <si>
    <t>Target sites per internal security staff member</t>
  </si>
  <si>
    <t>One internal oversight person per this number of protected premises.</t>
  </si>
  <si>
    <t>Minimum leakage cap</t>
  </si>
  <si>
    <t>Hard cap for conservative band.</t>
  </si>
  <si>
    <t>Likely leakage cap</t>
  </si>
  <si>
    <t>Hard cap for likely band.</t>
  </si>
  <si>
    <t>Maximum exposure cap</t>
  </si>
  <si>
    <t>Hard cap for maximum exposure band.</t>
  </si>
  <si>
    <t>Recoverable low factor</t>
  </si>
  <si>
    <t>Conservative recoverable portion of minimum leakage.</t>
  </si>
  <si>
    <t>Recoverable high factor</t>
  </si>
  <si>
    <t>Conservative recoverable portion of likely leakage.</t>
  </si>
  <si>
    <t>Model Calculations</t>
  </si>
  <si>
    <t>Annual security contract value</t>
  </si>
  <si>
    <t>Contract value inclusive of guarding, ad hoc services and recurring service costs.</t>
  </si>
  <si>
    <t>Protected premises</t>
  </si>
  <si>
    <t>Total facilities / sites in scope.</t>
  </si>
  <si>
    <t>Guard force</t>
  </si>
  <si>
    <t>Outsourced guard force in scope.</t>
  </si>
  <si>
    <t>Geographical footprint</t>
  </si>
  <si>
    <t>Estimated region complexity proxy derived from total sites.</t>
  </si>
  <si>
    <t>Surveillance gap</t>
  </si>
  <si>
    <t>Share lacking centrally monitored surveillance proof.</t>
  </si>
  <si>
    <t>Access control gap</t>
  </si>
  <si>
    <t>Share lacking usable access control evidence.</t>
  </si>
  <si>
    <t>Electronic record monitoring gap</t>
  </si>
  <si>
    <t>Share of footprint not covered by integrated technology.</t>
  </si>
  <si>
    <t>Manual record risk</t>
  </si>
  <si>
    <t>Share dependent on manual evidence.</t>
  </si>
  <si>
    <t>Real-time patrol monitoring gap</t>
  </si>
  <si>
    <t>Share lacking real-time patrol monitoring.</t>
  </si>
  <si>
    <t>Delayed patrol reporting risk</t>
  </si>
  <si>
    <t>Delayed patrol reporting exposure.</t>
  </si>
  <si>
    <t>Required internal security headcount</t>
  </si>
  <si>
    <t>Target internal oversight headcount for current site count.</t>
  </si>
  <si>
    <t>Internal capacity gap</t>
  </si>
  <si>
    <t>Shortfall between required and actual oversight headcount.</t>
  </si>
  <si>
    <t>Supervisory proof gap</t>
  </si>
  <si>
    <t>Share of supervisory visits not independently evidenced.</t>
  </si>
  <si>
    <t>Attendance proof gap</t>
  </si>
  <si>
    <t>Share of attendance verification not independently evidenced.</t>
  </si>
  <si>
    <t>Allowance complexity score</t>
  </si>
  <si>
    <t>Average complexity created by active allowance types.</t>
  </si>
  <si>
    <t>Guard force scale</t>
  </si>
  <si>
    <t>Normalised guard-force complexity.</t>
  </si>
  <si>
    <t>Cost scale</t>
  </si>
  <si>
    <t>Normalised spend complexity.</t>
  </si>
  <si>
    <t>Premises scale</t>
  </si>
  <si>
    <t>Normalised site-count complexity.</t>
  </si>
  <si>
    <t>Footprint scale</t>
  </si>
  <si>
    <t>Normalised geographic complexity.</t>
  </si>
  <si>
    <t>Composite scale complexity</t>
  </si>
  <si>
    <t>Average normalised scale complexity.</t>
  </si>
  <si>
    <t>Questionnaire Risk Factor</t>
  </si>
  <si>
    <t>Overall SCLI questionnaire risk converted to percentage.</t>
  </si>
  <si>
    <t>Loss Pressure Factor</t>
  </si>
  <si>
    <t>Reported losses as a percentage of annual contract value.</t>
  </si>
  <si>
    <t>Technology Verification Gap</t>
  </si>
  <si>
    <t>Simplified view of footprint coverage and verification utilisation gap.</t>
  </si>
  <si>
    <t>Coverage Quality</t>
  </si>
  <si>
    <t>Composite evidence quality score.</t>
  </si>
  <si>
    <t>Leakage Bands</t>
  </si>
  <si>
    <t>Minimum guaranteed leakage %</t>
  </si>
  <si>
    <t>Baseline leakage expected before detailed verification.</t>
  </si>
  <si>
    <t>Likely reality leakage %</t>
  </si>
  <si>
    <t>Expected leakage under current control, monitoring and assurance conditions.</t>
  </si>
  <si>
    <t>Maximum exposure leakage %</t>
  </si>
  <si>
    <t>Upper credible exposure where assurance failures compound.</t>
  </si>
  <si>
    <t>Minimum guaranteed leakage</t>
  </si>
  <si>
    <t>Annual minimum leakage derived from annual contract value x minimum leakage rate.</t>
  </si>
  <si>
    <t>Likely reality leakage</t>
  </si>
  <si>
    <t>Annual likely leakage derived from annual contract value x likely leakage rate.</t>
  </si>
  <si>
    <t>Maximum exposure leakage</t>
  </si>
  <si>
    <t>Annual maximum exposure derived from annual contract value x maximum exposure rate.</t>
  </si>
  <si>
    <t>Assessment confidence</t>
  </si>
  <si>
    <t>Preliminary confidence based on evidence coverage, proof quality and data completeness.</t>
  </si>
  <si>
    <t>Estimated recoverable value low</t>
  </si>
  <si>
    <t>Conservative recoverable value based on minimum leakage.</t>
  </si>
  <si>
    <t>Estimated recoverable value high</t>
  </si>
  <si>
    <t>Conservative recoverable value based on likely leakage.</t>
  </si>
  <si>
    <t>Likely leakage per protected premise</t>
  </si>
  <si>
    <t>Average likely annual leakage per protected premise.</t>
  </si>
  <si>
    <t>Security contract value per protected premise</t>
  </si>
  <si>
    <t>Average annual contract value per protected premise.</t>
  </si>
  <si>
    <t>Industry Verticals</t>
  </si>
  <si>
    <t>Telecommunications</t>
  </si>
  <si>
    <t>Mining</t>
  </si>
  <si>
    <t>Energy / Utilities</t>
  </si>
  <si>
    <t>Ports and Logistics</t>
  </si>
  <si>
    <t>Manufacturing</t>
  </si>
  <si>
    <t>Retail</t>
  </si>
  <si>
    <t>Financial Services</t>
  </si>
  <si>
    <t>Data Centres</t>
  </si>
  <si>
    <t>Healthcare</t>
  </si>
  <si>
    <t>Other</t>
  </si>
  <si>
    <t>Methodology Notes – SCLI™ v1.1</t>
  </si>
  <si>
    <t>Model status</t>
  </si>
  <si>
    <t>Preliminary executive decision-support model. Not an audit finding.</t>
  </si>
  <si>
    <t>Primary purpose</t>
  </si>
  <si>
    <t>Estimate likely Security Cost Leakage arising from the Executive Assurance Gap™.</t>
  </si>
  <si>
    <t>Key refinement from April calculator</t>
  </si>
  <si>
    <t>Integrated calibration variables: guard force scale, contract value scale, premises complexity, manual record reliance, delayed patrol reporting, proof gaps, internal capacity gap, technology coverage gap and allowance complexity.</t>
  </si>
  <si>
    <t>Key refinement from June assessment</t>
  </si>
  <si>
    <t>Integrated executive assurance questions, SLA enforcement questions, technology verification questions and Board-certification questions.</t>
  </si>
  <si>
    <t>Core financial input</t>
  </si>
  <si>
    <t>Annual security contract value inclusive of guarding, ad hoc additional services, variations and recurring security technology service costs.</t>
  </si>
  <si>
    <t>Leakage bands</t>
  </si>
  <si>
    <t>Minimum, likely and maximum exposure bands are calculated using calibration variables and questionnaire risk factors.</t>
  </si>
  <si>
    <t>Recoverable value</t>
  </si>
  <si>
    <t>Preliminary recoverable value estimates use conservative recovery factors and must be validated through an Independent Executive Security Assurance Review.</t>
  </si>
  <si>
    <t>Validation path</t>
  </si>
  <si>
    <t>Use MOSS assessment to validate estimated leakage, evidence and recommendations.</t>
  </si>
  <si>
    <t>Currency format standard</t>
  </si>
  <si>
    <t>All money values are formatted as R#,##0.00, for example R2,600,000.00.</t>
  </si>
  <si>
    <t>Version</t>
  </si>
  <si>
    <t>SCLI™ v1.1 – 26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</si>
</sst>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R#,##0.00"/>
    <numFmt numFmtId="165" formatCode="0.0%"/>
    <numFmt numFmtId="166" formatCode="0.0"/>
  </numFmts>
  <fonts count="5">
    <font>
      <sz val="11"/>
      <name val="Carlito"/>
    </font>
    <font>
      <b/>
      <sz val="16"/>
      <color rgb="FFFFFFFF"/>
      <name val="Carlito"/>
    </font>
    <font>
      <i/>
      <sz val="11"/>
      <name val="Carlito"/>
    </font>
    <font>
      <b/>
      <sz val="11"/>
      <color rgb="FFFFFFFF"/>
      <name val="Carlito"/>
    </font>
    <font>
      <b/>
      <sz val="11"/>
      <name val="Carlito"/>
    </font>
  </fonts>
  <fills count="7">
    <fill>
      <patternFill patternType="none"/>
    </fill>
    <fill>
      <patternFill patternType="gray125"/>
    </fill>
    <fill>
      <patternFill patternType="solid">
        <fgColor rgb="FF990000"/>
      </patternFill>
    </fill>
    <fill>
      <patternFill patternType="solid">
        <fgColor rgb="FFF2F2F2"/>
      </patternFill>
    </fill>
    <fill>
      <patternFill patternType="solid">
        <fgColor rgb="FF333333"/>
      </patternFill>
    </fill>
    <fill>
      <patternFill patternType="solid">
        <fgColor rgb="FFFFF2CC"/>
      </patternFill>
    </fill>
    <fill>
      <patternFill patternType="solid">
        <fgColor rgb="FFE7E6E6"/>
      </patternFill>
    </fill>
  </fills>
  <borders count="1">
    <border>
      <left/>
      <right/>
      <top/>
      <bottom/>
      <diagonal/>
    </border>
  </borders>
  <cellStyleXfs count="1">
    <xf numFmtId="0" fontId="0" fillId="0" borderId="0"/>
  </cellStyleXfs>
  <cellXfs count="19">
    <xf numFmtId="0" fontId="0" fillId="0" borderId="0" xfId="0"/>
    <xf numFmtId="0" fontId="3" fillId="4" borderId="0" xfId="0" applyFont="1" applyFill="1" applyAlignment="1">
      <alignment horizontal="center" vertical="center"/>
    </xf>
    <xf numFmtId="0" fontId="0" fillId="0" borderId="0" xfId="0" applyAlignment="1">
      <alignment wrapText="1"/>
    </xf>
    <xf numFmtId="0" fontId="3" fillId="4" borderId="0" xfId="0" applyFont="1" applyFill="1" applyAlignment="1">
      <alignment horizontal="center" vertical="center" wrapText="1"/>
    </xf>
    <xf numFmtId="0" fontId="0" fillId="5" borderId="0" xfId="0" applyFill="1" applyAlignment="1">
      <alignment wrapText="1"/>
    </xf>
    <xf numFmtId="3" fontId="0" fillId="5" borderId="0" xfId="0" applyNumberFormat="1" applyFill="1" applyAlignment="1">
      <alignment wrapText="1"/>
    </xf>
    <xf numFmtId="164" fontId="0" fillId="5" borderId="0" xfId="0" applyNumberFormat="1" applyFill="1" applyAlignment="1">
      <alignment wrapText="1"/>
    </xf>
    <xf numFmtId="165" fontId="0" fillId="5" borderId="0" xfId="0" applyNumberFormat="1" applyFill="1" applyAlignment="1">
      <alignment wrapText="1"/>
    </xf>
    <xf numFmtId="166" fontId="0" fillId="0" borderId="0" xfId="0" applyNumberFormat="1" applyAlignment="1">
      <alignment wrapText="1"/>
    </xf>
    <xf numFmtId="165" fontId="0" fillId="0" borderId="0" xfId="0" applyNumberFormat="1" applyAlignment="1">
      <alignment wrapText="1"/>
    </xf>
    <xf numFmtId="164" fontId="0" fillId="0" borderId="0" xfId="0" applyNumberFormat="1" applyAlignment="1">
      <alignment wrapText="1"/>
    </xf>
    <xf numFmtId="3" fontId="0" fillId="0" borderId="0" xfId="0" applyNumberFormat="1" applyAlignment="1">
      <alignment wrapText="1"/>
    </xf>
    <xf numFmtId="0" fontId="4" fillId="6" borderId="0" xfId="0" applyFont="1" applyFill="1" applyAlignment="1">
      <alignment horizontal="left" wrapText="1"/>
    </xf>
    <xf numFmtId="0" fontId="1" fillId="2" borderId="0" xfId="0" applyFont="1" applyFill="1" applyAlignment="1">
      <alignment horizontal="center" wrapText="1"/>
    </xf>
    <xf numFmtId="0" fontId="0" fillId="0" borderId="0" xfId="0" applyAlignment="1">
      <alignment wrapText="1"/>
    </xf>
    <xf numFmtId="0" fontId="3" fillId="4" borderId="0" xfId="0" applyFont="1" applyFill="1" applyAlignment="1">
      <alignment horizontal="center" wrapText="1"/>
    </xf>
    <xf numFmtId="0" fontId="2" fillId="3" borderId="0" xfId="0" applyFont="1" applyFill="1" applyAlignment="1">
      <alignment wrapText="1"/>
    </xf>
    <xf numFmtId="0" fontId="4" fillId="6" borderId="0" xfId="0" applyFont="1" applyFill="1" applyAlignment="1">
      <alignment horizontal="left" wrapText="1"/>
    </xf>
    <xf numFmtId="0" fontId="2" fillId="3"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abSelected="1" workbookViewId="0">
      <selection sqref="A1:F1"/>
    </sheetView>
  </sheetViews>
  <sheetFormatPr baseColWidth="10" defaultColWidth="8.83203125" defaultRowHeight="14"/>
  <cols>
    <col min="1" max="1" width="38" customWidth="1"/>
    <col min="2" max="2" width="20" customWidth="1"/>
    <col min="3" max="3" width="18" customWidth="1"/>
    <col min="4" max="4" width="38" customWidth="1"/>
    <col min="5" max="5" width="24" customWidth="1"/>
    <col min="6" max="6" width="20" customWidth="1"/>
  </cols>
  <sheetData>
    <row r="1" spans="1:6" ht="16">
      <c r="A1" s="13" t="s">
        <v>0</v>
      </c>
      <c r="B1" s="14"/>
      <c r="C1" s="14"/>
      <c r="D1" s="14"/>
      <c r="E1" s="14"/>
      <c r="F1" s="14"/>
    </row>
    <row r="2" spans="1:6" ht="15">
      <c r="A2" s="15" t="s">
        <v>1</v>
      </c>
      <c r="B2" s="14"/>
      <c r="C2" s="14"/>
      <c r="D2" s="14"/>
      <c r="E2" s="14"/>
      <c r="F2" s="14"/>
    </row>
    <row r="3" spans="1:6">
      <c r="A3" s="2"/>
      <c r="B3" s="2"/>
      <c r="C3" s="2"/>
      <c r="D3" s="2"/>
      <c r="E3" s="2"/>
      <c r="F3" s="2"/>
    </row>
    <row r="4" spans="1:6" ht="15">
      <c r="A4" s="16" t="s">
        <v>2</v>
      </c>
      <c r="B4" s="14"/>
      <c r="C4" s="14"/>
      <c r="D4" s="14"/>
      <c r="E4" s="14"/>
      <c r="F4" s="14"/>
    </row>
    <row r="5" spans="1:6">
      <c r="A5" s="2"/>
      <c r="B5" s="2"/>
      <c r="C5" s="2"/>
      <c r="D5" s="2"/>
      <c r="E5" s="2"/>
      <c r="F5" s="2"/>
    </row>
    <row r="6" spans="1:6" ht="16">
      <c r="A6" s="3" t="s">
        <v>3</v>
      </c>
      <c r="B6" s="3"/>
      <c r="C6" s="2"/>
      <c r="D6" s="3" t="s">
        <v>4</v>
      </c>
      <c r="E6" s="3"/>
      <c r="F6" s="2"/>
    </row>
    <row r="7" spans="1:6" ht="15">
      <c r="A7" s="2" t="s">
        <v>5</v>
      </c>
      <c r="B7" s="2" t="str">
        <f>Assessment!D5</f>
        <v>ABC Group Limited</v>
      </c>
      <c r="C7" s="2"/>
      <c r="D7" s="2" t="s">
        <v>6</v>
      </c>
      <c r="E7" s="8">
        <f>ROUND(Assessment!K37,1)</f>
        <v>71.3</v>
      </c>
      <c r="F7" s="2"/>
    </row>
    <row r="8" spans="1:6" ht="30">
      <c r="A8" s="2" t="s">
        <v>7</v>
      </c>
      <c r="B8" s="2" t="str">
        <f>Assessment!D6</f>
        <v>Government / Public Infrastructure</v>
      </c>
      <c r="C8" s="2"/>
      <c r="D8" s="2" t="s">
        <v>8</v>
      </c>
      <c r="E8" s="2" t="str">
        <f>IF(E7&gt;=75,"Critical",IF(E7&gt;=60,"High",IF(E7&gt;=40,"Moderate","Controlled")))</f>
        <v>High</v>
      </c>
      <c r="F8" s="2"/>
    </row>
    <row r="9" spans="1:6" ht="15">
      <c r="A9" s="2" t="s">
        <v>9</v>
      </c>
      <c r="B9" s="11">
        <f>Assessment!D7</f>
        <v>1250</v>
      </c>
      <c r="C9" s="2"/>
      <c r="D9" s="2" t="s">
        <v>10</v>
      </c>
      <c r="E9" s="10">
        <f>Calculations!B31</f>
        <v>28142990.415335465</v>
      </c>
      <c r="F9" s="2"/>
    </row>
    <row r="10" spans="1:6" ht="15">
      <c r="A10" s="2" t="s">
        <v>11</v>
      </c>
      <c r="B10" s="11">
        <f>Assessment!D8</f>
        <v>4000</v>
      </c>
      <c r="C10" s="2"/>
      <c r="D10" s="2" t="s">
        <v>12</v>
      </c>
      <c r="E10" s="10">
        <f>Calculations!B32</f>
        <v>57600000</v>
      </c>
      <c r="F10" s="2"/>
    </row>
    <row r="11" spans="1:6" ht="30">
      <c r="A11" s="2" t="s">
        <v>13</v>
      </c>
      <c r="B11" s="10">
        <f>Assessment!D9</f>
        <v>480000000</v>
      </c>
      <c r="C11" s="2"/>
      <c r="D11" s="2" t="s">
        <v>14</v>
      </c>
      <c r="E11" s="10">
        <f>Calculations!B33</f>
        <v>96000000</v>
      </c>
      <c r="F11" s="2"/>
    </row>
    <row r="12" spans="1:6" ht="15">
      <c r="A12" s="2" t="s">
        <v>15</v>
      </c>
      <c r="B12" s="10">
        <f>Assessment!D10</f>
        <v>1400000</v>
      </c>
      <c r="C12" s="2"/>
      <c r="D12" s="2" t="s">
        <v>16</v>
      </c>
      <c r="E12" s="10">
        <f>Calculations!B35</f>
        <v>12664345.68690096</v>
      </c>
      <c r="F12" s="2"/>
    </row>
    <row r="13" spans="1:6" ht="15">
      <c r="A13" s="2" t="s">
        <v>17</v>
      </c>
      <c r="B13" s="10">
        <f>Assessment!D11</f>
        <v>2800000</v>
      </c>
      <c r="C13" s="2"/>
      <c r="D13" s="2" t="s">
        <v>18</v>
      </c>
      <c r="E13" s="10">
        <f>Calculations!B36</f>
        <v>37440000</v>
      </c>
      <c r="F13" s="2"/>
    </row>
    <row r="14" spans="1:6" ht="15">
      <c r="A14" s="2" t="s">
        <v>19</v>
      </c>
      <c r="B14" s="11">
        <f>Assessment!D12</f>
        <v>9</v>
      </c>
      <c r="C14" s="2"/>
      <c r="D14" s="2" t="s">
        <v>20</v>
      </c>
      <c r="E14" s="9">
        <f>Calculations!B28</f>
        <v>5.8631230031948887E-2</v>
      </c>
      <c r="F14" s="2"/>
    </row>
    <row r="15" spans="1:6" ht="15">
      <c r="A15" s="2" t="s">
        <v>21</v>
      </c>
      <c r="B15" s="11">
        <f>Assessment!D13</f>
        <v>4</v>
      </c>
      <c r="C15" s="2"/>
      <c r="D15" s="2" t="s">
        <v>22</v>
      </c>
      <c r="E15" s="9">
        <f>Calculations!B29</f>
        <v>0.12</v>
      </c>
      <c r="F15" s="2"/>
    </row>
    <row r="16" spans="1:6" ht="15">
      <c r="A16" s="2" t="s">
        <v>23</v>
      </c>
      <c r="B16" s="9">
        <f>Assessment!D14</f>
        <v>0.65</v>
      </c>
      <c r="C16" s="2"/>
      <c r="D16" s="2" t="s">
        <v>24</v>
      </c>
      <c r="E16" s="9">
        <f>Calculations!B30</f>
        <v>0.2</v>
      </c>
      <c r="F16" s="2"/>
    </row>
    <row r="17" spans="1:6" ht="15">
      <c r="A17" s="2" t="s">
        <v>25</v>
      </c>
      <c r="B17" s="9">
        <f>Assessment!D15</f>
        <v>0.2</v>
      </c>
      <c r="C17" s="2"/>
      <c r="D17" s="2" t="s">
        <v>26</v>
      </c>
      <c r="E17" s="9">
        <f>Calculations!B34</f>
        <v>0.53750000000000009</v>
      </c>
      <c r="F17" s="2"/>
    </row>
    <row r="18" spans="1:6">
      <c r="A18" s="2"/>
      <c r="B18" s="2"/>
      <c r="C18" s="2"/>
      <c r="D18" s="2"/>
      <c r="E18" s="2"/>
      <c r="F18" s="2"/>
    </row>
    <row r="19" spans="1:6">
      <c r="A19" s="2"/>
      <c r="B19" s="2"/>
      <c r="C19" s="2"/>
      <c r="D19" s="2"/>
      <c r="E19" s="2"/>
      <c r="F19" s="2"/>
    </row>
    <row r="20" spans="1:6" ht="16">
      <c r="A20" s="12" t="s">
        <v>27</v>
      </c>
      <c r="B20" s="12"/>
      <c r="C20" s="12"/>
      <c r="D20" s="2"/>
      <c r="E20" s="2"/>
      <c r="F20" s="2"/>
    </row>
    <row r="21" spans="1:6" ht="16">
      <c r="A21" s="3" t="s">
        <v>28</v>
      </c>
      <c r="B21" s="3" t="s">
        <v>29</v>
      </c>
      <c r="C21" s="3" t="s">
        <v>30</v>
      </c>
      <c r="D21" s="2"/>
      <c r="E21" s="2"/>
      <c r="F21" s="2"/>
    </row>
    <row r="22" spans="1:6" ht="15">
      <c r="A22" s="2" t="s">
        <v>31</v>
      </c>
      <c r="B22" s="8">
        <f>Assessment!K32</f>
        <v>76.186440677966104</v>
      </c>
      <c r="C22" s="2" t="str">
        <f>IF(B22&gt;=75,"Critical",IF(B22&gt;=60,"High",IF(B22&gt;=40,"Moderate","Controlled")))</f>
        <v>Critical</v>
      </c>
      <c r="D22" s="2"/>
      <c r="E22" s="2"/>
      <c r="F22" s="2"/>
    </row>
    <row r="23" spans="1:6" ht="15">
      <c r="A23" s="2" t="s">
        <v>32</v>
      </c>
      <c r="B23" s="8">
        <f>Assessment!K33</f>
        <v>60.760869565217391</v>
      </c>
      <c r="C23" s="2" t="str">
        <f>IF(B23&gt;=75,"Critical",IF(B23&gt;=60,"High",IF(B23&gt;=40,"Moderate","Controlled")))</f>
        <v>High</v>
      </c>
      <c r="D23" s="2"/>
      <c r="E23" s="2"/>
      <c r="F23" s="2"/>
    </row>
    <row r="24" spans="1:6" ht="15">
      <c r="A24" s="2" t="s">
        <v>33</v>
      </c>
      <c r="B24" s="8">
        <f>Assessment!K34</f>
        <v>70.333333333333329</v>
      </c>
      <c r="C24" s="2" t="str">
        <f>IF(B24&gt;=75,"Critical",IF(B24&gt;=60,"High",IF(B24&gt;=40,"Moderate","Controlled")))</f>
        <v>High</v>
      </c>
      <c r="D24" s="2"/>
      <c r="E24" s="2"/>
      <c r="F24" s="2"/>
    </row>
    <row r="25" spans="1:6" ht="15">
      <c r="A25" s="2" t="s">
        <v>34</v>
      </c>
      <c r="B25" s="8">
        <f>Assessment!K35</f>
        <v>76.36363636363636</v>
      </c>
      <c r="C25" s="2" t="str">
        <f>IF(B25&gt;=75,"Critical",IF(B25&gt;=60,"High",IF(B25&gt;=40,"Moderate","Controlled")))</f>
        <v>Critical</v>
      </c>
      <c r="D25" s="2"/>
      <c r="E25" s="2"/>
      <c r="F25" s="2"/>
    </row>
    <row r="26" spans="1:6" ht="15">
      <c r="A26" s="2" t="s">
        <v>35</v>
      </c>
      <c r="B26" s="8">
        <f>Assessment!K36</f>
        <v>78</v>
      </c>
      <c r="C26" s="2" t="str">
        <f>IF(B26&gt;=75,"Critical",IF(B26&gt;=60,"High",IF(B26&gt;=40,"Moderate","Controlled")))</f>
        <v>Critical</v>
      </c>
      <c r="D26" s="2"/>
      <c r="E26" s="2"/>
      <c r="F26" s="2"/>
    </row>
    <row r="27" spans="1:6">
      <c r="A27" s="2"/>
      <c r="B27" s="2"/>
      <c r="C27" s="2"/>
      <c r="D27" s="2"/>
      <c r="E27" s="2"/>
      <c r="F27" s="2"/>
    </row>
    <row r="28" spans="1:6">
      <c r="A28" s="2"/>
      <c r="B28" s="2"/>
      <c r="C28" s="2"/>
      <c r="D28" s="2"/>
      <c r="E28" s="2"/>
      <c r="F28" s="2"/>
    </row>
    <row r="29" spans="1:6" ht="15">
      <c r="A29" s="17" t="s">
        <v>36</v>
      </c>
      <c r="B29" s="14"/>
      <c r="C29" s="14"/>
      <c r="D29" s="14"/>
      <c r="E29" s="14"/>
      <c r="F29" s="14"/>
    </row>
    <row r="30" spans="1:6" ht="150">
      <c r="A30" s="2" t="s">
        <v>37</v>
      </c>
      <c r="B30" s="2"/>
      <c r="C30" s="2"/>
      <c r="D30" s="2"/>
      <c r="E30" s="2"/>
      <c r="F30" s="2"/>
    </row>
    <row r="31" spans="1:6" ht="135">
      <c r="A31" s="2" t="s">
        <v>38</v>
      </c>
      <c r="B31" s="2"/>
      <c r="C31" s="2"/>
      <c r="D31" s="2"/>
      <c r="E31" s="2"/>
      <c r="F31" s="2"/>
    </row>
    <row r="32" spans="1:6" ht="105">
      <c r="A32" s="2" t="s">
        <v>39</v>
      </c>
      <c r="B32" s="2"/>
      <c r="C32" s="2"/>
      <c r="D32" s="2"/>
      <c r="E32" s="2"/>
      <c r="F32" s="2"/>
    </row>
    <row r="33" spans="1:6">
      <c r="A33" s="2"/>
      <c r="B33" s="2"/>
      <c r="C33" s="2"/>
      <c r="D33" s="2"/>
      <c r="E33" s="2"/>
      <c r="F33" s="2"/>
    </row>
    <row r="34" spans="1:6">
      <c r="A34" s="2"/>
      <c r="B34" s="2"/>
      <c r="C34" s="2"/>
      <c r="D34" s="2"/>
      <c r="E34" s="2"/>
      <c r="F34" s="2"/>
    </row>
    <row r="35" spans="1:6" ht="16">
      <c r="A35" s="12" t="s">
        <v>40</v>
      </c>
      <c r="B35" s="12"/>
      <c r="C35" s="2"/>
      <c r="D35" s="2"/>
      <c r="E35" s="2"/>
      <c r="F35" s="2"/>
    </row>
    <row r="36" spans="1:6" ht="60">
      <c r="A36" s="2" t="s">
        <v>41</v>
      </c>
      <c r="B36" s="2" t="s">
        <v>42</v>
      </c>
      <c r="C36" s="2"/>
      <c r="D36" s="2"/>
      <c r="E36" s="2"/>
      <c r="F36" s="2"/>
    </row>
    <row r="37" spans="1:6" ht="75">
      <c r="A37" s="2" t="s">
        <v>43</v>
      </c>
      <c r="B37" s="2" t="s">
        <v>44</v>
      </c>
      <c r="C37" s="2"/>
      <c r="D37" s="2"/>
      <c r="E37" s="2"/>
      <c r="F37" s="2"/>
    </row>
    <row r="38" spans="1:6" ht="75">
      <c r="A38" s="2" t="s">
        <v>45</v>
      </c>
      <c r="B38" s="2" t="s">
        <v>46</v>
      </c>
      <c r="C38" s="2"/>
      <c r="D38" s="2"/>
      <c r="E38" s="2"/>
      <c r="F38" s="2"/>
    </row>
    <row r="39" spans="1:6" ht="90">
      <c r="A39" s="2" t="s">
        <v>47</v>
      </c>
      <c r="B39" s="2" t="s">
        <v>48</v>
      </c>
      <c r="C39" s="2"/>
      <c r="D39" s="2"/>
      <c r="E39" s="2"/>
      <c r="F39" s="2"/>
    </row>
    <row r="40" spans="1:6" ht="90">
      <c r="A40" s="2" t="s">
        <v>49</v>
      </c>
      <c r="B40" s="2" t="s">
        <v>50</v>
      </c>
      <c r="C40" s="2"/>
      <c r="D40" s="2"/>
      <c r="E40" s="2"/>
      <c r="F40" s="2"/>
    </row>
    <row r="41" spans="1:6">
      <c r="A41" s="2"/>
      <c r="B41" s="2"/>
      <c r="C41" s="2"/>
      <c r="D41" s="2"/>
      <c r="E41" s="2"/>
      <c r="F41" s="2"/>
    </row>
    <row r="42" spans="1:6">
      <c r="A42" s="2"/>
      <c r="B42" s="2"/>
      <c r="C42" s="2"/>
      <c r="D42" s="2"/>
      <c r="E42" s="2"/>
      <c r="F42" s="2"/>
    </row>
  </sheetData>
  <mergeCells count="4">
    <mergeCell ref="A1:F1"/>
    <mergeCell ref="A2:F2"/>
    <mergeCell ref="A4:F4"/>
    <mergeCell ref="A29:F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1"/>
  <sheetViews>
    <sheetView workbookViewId="0">
      <selection sqref="A1:K1"/>
    </sheetView>
  </sheetViews>
  <sheetFormatPr baseColWidth="10" defaultColWidth="8.83203125" defaultRowHeight="14"/>
  <cols>
    <col min="1" max="1" width="8" customWidth="1"/>
    <col min="2" max="2" width="28" customWidth="1"/>
    <col min="3" max="3" width="58" customWidth="1"/>
    <col min="4" max="4" width="28" customWidth="1"/>
    <col min="5" max="5" width="10" customWidth="1"/>
    <col min="6" max="6" width="12" customWidth="1"/>
    <col min="7" max="7" width="14" customWidth="1"/>
    <col min="8" max="8" width="24" customWidth="1"/>
    <col min="10" max="10" width="28" customWidth="1"/>
    <col min="11" max="11" width="22" customWidth="1"/>
  </cols>
  <sheetData>
    <row r="1" spans="1:11" ht="16">
      <c r="A1" s="13" t="s">
        <v>51</v>
      </c>
      <c r="B1" s="14"/>
      <c r="C1" s="14"/>
      <c r="D1" s="14"/>
      <c r="E1" s="14"/>
      <c r="F1" s="14"/>
      <c r="G1" s="14"/>
      <c r="H1" s="14"/>
      <c r="I1" s="14"/>
      <c r="J1" s="14"/>
      <c r="K1" s="14"/>
    </row>
    <row r="2" spans="1:11" ht="15">
      <c r="A2" s="18" t="s">
        <v>52</v>
      </c>
      <c r="B2" s="14"/>
      <c r="C2" s="14"/>
      <c r="D2" s="14"/>
      <c r="E2" s="14"/>
      <c r="F2" s="14"/>
      <c r="G2" s="14"/>
      <c r="H2" s="14"/>
      <c r="I2" s="14"/>
      <c r="J2" s="14"/>
      <c r="K2" s="14"/>
    </row>
    <row r="3" spans="1:11">
      <c r="A3" s="2"/>
      <c r="B3" s="2"/>
      <c r="C3" s="2"/>
      <c r="D3" s="2"/>
      <c r="E3" s="2"/>
      <c r="F3" s="2"/>
      <c r="G3" s="2"/>
      <c r="H3" s="2"/>
      <c r="I3" s="2"/>
      <c r="J3" s="2"/>
      <c r="K3" s="2"/>
    </row>
    <row r="4" spans="1:11" ht="32">
      <c r="A4" s="3" t="s">
        <v>53</v>
      </c>
      <c r="B4" s="3" t="s">
        <v>54</v>
      </c>
      <c r="C4" s="3" t="s">
        <v>55</v>
      </c>
      <c r="D4" s="3" t="s">
        <v>56</v>
      </c>
      <c r="E4" s="3" t="s">
        <v>57</v>
      </c>
      <c r="F4" s="2"/>
      <c r="G4" s="2"/>
      <c r="H4" s="2"/>
      <c r="I4" s="2"/>
      <c r="J4" s="2"/>
      <c r="K4" s="2"/>
    </row>
    <row r="5" spans="1:11" ht="15">
      <c r="A5" s="2" t="s">
        <v>58</v>
      </c>
      <c r="B5" s="2" t="s">
        <v>59</v>
      </c>
      <c r="C5" s="2" t="s">
        <v>60</v>
      </c>
      <c r="D5" s="4" t="s">
        <v>61</v>
      </c>
      <c r="E5" s="2" t="s">
        <v>62</v>
      </c>
      <c r="F5" s="2"/>
      <c r="G5" s="2"/>
      <c r="H5" s="2"/>
      <c r="I5" s="2"/>
      <c r="J5" s="2"/>
      <c r="K5" s="2"/>
    </row>
    <row r="6" spans="1:11" ht="30">
      <c r="A6" s="2" t="s">
        <v>63</v>
      </c>
      <c r="B6" s="2" t="s">
        <v>64</v>
      </c>
      <c r="C6" s="2" t="s">
        <v>65</v>
      </c>
      <c r="D6" s="4" t="s">
        <v>66</v>
      </c>
      <c r="E6" s="2" t="s">
        <v>67</v>
      </c>
      <c r="F6" s="2"/>
      <c r="G6" s="2"/>
      <c r="H6" s="2"/>
      <c r="I6" s="2"/>
      <c r="J6" s="2"/>
      <c r="K6" s="2"/>
    </row>
    <row r="7" spans="1:11" ht="15">
      <c r="A7" s="2" t="s">
        <v>68</v>
      </c>
      <c r="B7" s="2" t="s">
        <v>69</v>
      </c>
      <c r="C7" s="2" t="s">
        <v>70</v>
      </c>
      <c r="D7" s="5">
        <v>1250</v>
      </c>
      <c r="E7" s="2" t="s">
        <v>71</v>
      </c>
      <c r="F7" s="2"/>
      <c r="G7" s="2"/>
      <c r="H7" s="2"/>
      <c r="I7" s="2"/>
      <c r="J7" s="2"/>
      <c r="K7" s="2"/>
    </row>
    <row r="8" spans="1:11" ht="15">
      <c r="A8" s="2" t="s">
        <v>72</v>
      </c>
      <c r="B8" s="2" t="s">
        <v>73</v>
      </c>
      <c r="C8" s="2" t="s">
        <v>74</v>
      </c>
      <c r="D8" s="5">
        <v>4000</v>
      </c>
      <c r="E8" s="2" t="s">
        <v>71</v>
      </c>
      <c r="F8" s="2"/>
      <c r="G8" s="2"/>
      <c r="H8" s="2"/>
      <c r="I8" s="2"/>
      <c r="J8" s="2"/>
      <c r="K8" s="2"/>
    </row>
    <row r="9" spans="1:11" ht="30">
      <c r="A9" s="2" t="s">
        <v>75</v>
      </c>
      <c r="B9" s="2" t="s">
        <v>76</v>
      </c>
      <c r="C9" s="2" t="s">
        <v>77</v>
      </c>
      <c r="D9" s="6">
        <v>480000000</v>
      </c>
      <c r="E9" s="2" t="s">
        <v>78</v>
      </c>
      <c r="F9" s="2"/>
      <c r="G9" s="2"/>
      <c r="H9" s="2"/>
      <c r="I9" s="2"/>
      <c r="J9" s="2"/>
      <c r="K9" s="2"/>
    </row>
    <row r="10" spans="1:11" ht="30">
      <c r="A10" s="2" t="s">
        <v>79</v>
      </c>
      <c r="B10" s="2" t="s">
        <v>80</v>
      </c>
      <c r="C10" s="2" t="s">
        <v>81</v>
      </c>
      <c r="D10" s="6">
        <v>1400000</v>
      </c>
      <c r="E10" s="2" t="s">
        <v>78</v>
      </c>
      <c r="F10" s="2"/>
      <c r="G10" s="2"/>
      <c r="H10" s="2"/>
      <c r="I10" s="2"/>
      <c r="J10" s="2"/>
      <c r="K10" s="2"/>
    </row>
    <row r="11" spans="1:11" ht="30">
      <c r="A11" s="2" t="s">
        <v>82</v>
      </c>
      <c r="B11" s="2" t="s">
        <v>83</v>
      </c>
      <c r="C11" s="2" t="s">
        <v>84</v>
      </c>
      <c r="D11" s="6">
        <v>2800000</v>
      </c>
      <c r="E11" s="2" t="s">
        <v>78</v>
      </c>
      <c r="F11" s="2"/>
      <c r="G11" s="2"/>
      <c r="H11" s="2"/>
      <c r="I11" s="2"/>
      <c r="J11" s="2"/>
      <c r="K11" s="2"/>
    </row>
    <row r="12" spans="1:11" ht="30">
      <c r="A12" s="2" t="s">
        <v>85</v>
      </c>
      <c r="B12" s="2" t="s">
        <v>86</v>
      </c>
      <c r="C12" s="2" t="s">
        <v>87</v>
      </c>
      <c r="D12" s="5">
        <v>9</v>
      </c>
      <c r="E12" s="2" t="s">
        <v>71</v>
      </c>
      <c r="F12" s="2"/>
      <c r="G12" s="2"/>
      <c r="H12" s="2"/>
      <c r="I12" s="2"/>
      <c r="J12" s="2"/>
      <c r="K12" s="2"/>
    </row>
    <row r="13" spans="1:11" ht="30">
      <c r="A13" s="2" t="s">
        <v>88</v>
      </c>
      <c r="B13" s="2" t="s">
        <v>89</v>
      </c>
      <c r="C13" s="2" t="s">
        <v>90</v>
      </c>
      <c r="D13" s="5">
        <v>4</v>
      </c>
      <c r="E13" s="2" t="s">
        <v>71</v>
      </c>
      <c r="F13" s="2"/>
      <c r="G13" s="2"/>
      <c r="H13" s="2"/>
      <c r="I13" s="2"/>
      <c r="J13" s="2"/>
      <c r="K13" s="2"/>
    </row>
    <row r="14" spans="1:11" ht="30">
      <c r="A14" s="2" t="s">
        <v>91</v>
      </c>
      <c r="B14" s="2" t="s">
        <v>92</v>
      </c>
      <c r="C14" s="2" t="s">
        <v>93</v>
      </c>
      <c r="D14" s="7">
        <v>0.65</v>
      </c>
      <c r="E14" s="2" t="s">
        <v>94</v>
      </c>
      <c r="F14" s="2"/>
      <c r="G14" s="2"/>
      <c r="H14" s="2"/>
      <c r="I14" s="2"/>
      <c r="J14" s="2"/>
      <c r="K14" s="2"/>
    </row>
    <row r="15" spans="1:11" ht="30">
      <c r="A15" s="2" t="s">
        <v>95</v>
      </c>
      <c r="B15" s="2" t="s">
        <v>96</v>
      </c>
      <c r="C15" s="2" t="s">
        <v>97</v>
      </c>
      <c r="D15" s="7">
        <v>0.2</v>
      </c>
      <c r="E15" s="2" t="s">
        <v>94</v>
      </c>
      <c r="F15" s="2"/>
      <c r="G15" s="2"/>
      <c r="H15" s="2"/>
      <c r="I15" s="2"/>
      <c r="J15" s="2"/>
      <c r="K15" s="2"/>
    </row>
    <row r="16" spans="1:11" ht="30">
      <c r="A16" s="2" t="s">
        <v>98</v>
      </c>
      <c r="B16" s="2" t="s">
        <v>99</v>
      </c>
      <c r="C16" s="2" t="s">
        <v>100</v>
      </c>
      <c r="D16" s="7">
        <v>0.6</v>
      </c>
      <c r="E16" s="2" t="s">
        <v>94</v>
      </c>
      <c r="F16" s="2"/>
      <c r="G16" s="2"/>
      <c r="H16" s="2"/>
      <c r="I16" s="2"/>
      <c r="J16" s="2"/>
      <c r="K16" s="2"/>
    </row>
    <row r="17" spans="1:11" ht="30">
      <c r="A17" s="2" t="s">
        <v>101</v>
      </c>
      <c r="B17" s="2" t="s">
        <v>102</v>
      </c>
      <c r="C17" s="2" t="s">
        <v>103</v>
      </c>
      <c r="D17" s="7">
        <v>0.35</v>
      </c>
      <c r="E17" s="2" t="s">
        <v>94</v>
      </c>
      <c r="F17" s="2"/>
      <c r="G17" s="2"/>
      <c r="H17" s="2"/>
      <c r="I17" s="2"/>
      <c r="J17" s="2"/>
      <c r="K17" s="2"/>
    </row>
    <row r="18" spans="1:11" ht="30">
      <c r="A18" s="2" t="s">
        <v>104</v>
      </c>
      <c r="B18" s="2" t="s">
        <v>105</v>
      </c>
      <c r="C18" s="2" t="s">
        <v>106</v>
      </c>
      <c r="D18" s="7">
        <v>0.45</v>
      </c>
      <c r="E18" s="2" t="s">
        <v>94</v>
      </c>
      <c r="F18" s="2"/>
      <c r="G18" s="2"/>
      <c r="H18" s="2"/>
      <c r="I18" s="2"/>
      <c r="J18" s="2"/>
      <c r="K18" s="2"/>
    </row>
    <row r="19" spans="1:11" ht="30">
      <c r="A19" s="2" t="s">
        <v>107</v>
      </c>
      <c r="B19" s="2" t="s">
        <v>108</v>
      </c>
      <c r="C19" s="2" t="s">
        <v>109</v>
      </c>
      <c r="D19" s="7">
        <v>0.25</v>
      </c>
      <c r="E19" s="2" t="s">
        <v>94</v>
      </c>
      <c r="F19" s="2"/>
      <c r="G19" s="2"/>
      <c r="H19" s="2"/>
      <c r="I19" s="2"/>
      <c r="J19" s="2"/>
      <c r="K19" s="2"/>
    </row>
    <row r="20" spans="1:11" ht="15">
      <c r="A20" s="2" t="s">
        <v>110</v>
      </c>
      <c r="B20" s="2" t="s">
        <v>111</v>
      </c>
      <c r="C20" s="2" t="s">
        <v>112</v>
      </c>
      <c r="D20" s="7">
        <v>0.5</v>
      </c>
      <c r="E20" s="2" t="s">
        <v>94</v>
      </c>
      <c r="F20" s="2"/>
      <c r="G20" s="2"/>
      <c r="H20" s="2"/>
      <c r="I20" s="2"/>
      <c r="J20" s="2"/>
      <c r="K20" s="2"/>
    </row>
    <row r="21" spans="1:11" ht="30">
      <c r="A21" s="2" t="s">
        <v>113</v>
      </c>
      <c r="B21" s="2" t="s">
        <v>114</v>
      </c>
      <c r="C21" s="2" t="s">
        <v>115</v>
      </c>
      <c r="D21" s="7">
        <v>0.55000000000000004</v>
      </c>
      <c r="E21" s="2" t="s">
        <v>94</v>
      </c>
      <c r="F21" s="2"/>
      <c r="G21" s="2"/>
      <c r="H21" s="2"/>
      <c r="I21" s="2"/>
      <c r="J21" s="2"/>
      <c r="K21" s="2"/>
    </row>
    <row r="22" spans="1:11" ht="30">
      <c r="A22" s="2" t="s">
        <v>116</v>
      </c>
      <c r="B22" s="2" t="s">
        <v>117</v>
      </c>
      <c r="C22" s="2" t="s">
        <v>118</v>
      </c>
      <c r="D22" s="7">
        <v>0.75</v>
      </c>
      <c r="E22" s="2" t="s">
        <v>94</v>
      </c>
      <c r="F22" s="2"/>
      <c r="G22" s="2"/>
      <c r="H22" s="2"/>
      <c r="I22" s="2"/>
      <c r="J22" s="2"/>
      <c r="K22" s="2"/>
    </row>
    <row r="23" spans="1:11" ht="15">
      <c r="A23" s="2" t="s">
        <v>119</v>
      </c>
      <c r="B23" s="2" t="s">
        <v>120</v>
      </c>
      <c r="C23" s="2" t="s">
        <v>121</v>
      </c>
      <c r="D23" s="4" t="s">
        <v>122</v>
      </c>
      <c r="E23" s="2" t="s">
        <v>121</v>
      </c>
      <c r="F23" s="2"/>
      <c r="G23" s="2"/>
      <c r="H23" s="2"/>
      <c r="I23" s="2"/>
      <c r="J23" s="2"/>
      <c r="K23" s="2"/>
    </row>
    <row r="24" spans="1:11" ht="15">
      <c r="A24" s="2" t="s">
        <v>123</v>
      </c>
      <c r="B24" s="2" t="s">
        <v>124</v>
      </c>
      <c r="C24" s="2" t="s">
        <v>121</v>
      </c>
      <c r="D24" s="4" t="s">
        <v>122</v>
      </c>
      <c r="E24" s="2" t="s">
        <v>121</v>
      </c>
      <c r="F24" s="2"/>
      <c r="G24" s="2"/>
      <c r="H24" s="2"/>
      <c r="I24" s="2"/>
      <c r="J24" s="2"/>
      <c r="K24" s="2"/>
    </row>
    <row r="25" spans="1:11" ht="15">
      <c r="A25" s="2" t="s">
        <v>125</v>
      </c>
      <c r="B25" s="2" t="s">
        <v>126</v>
      </c>
      <c r="C25" s="2" t="s">
        <v>121</v>
      </c>
      <c r="D25" s="4" t="s">
        <v>122</v>
      </c>
      <c r="E25" s="2" t="s">
        <v>121</v>
      </c>
      <c r="F25" s="2"/>
      <c r="G25" s="2"/>
      <c r="H25" s="2"/>
      <c r="I25" s="2"/>
      <c r="J25" s="2"/>
      <c r="K25" s="2"/>
    </row>
    <row r="26" spans="1:11" ht="15">
      <c r="A26" s="2" t="s">
        <v>127</v>
      </c>
      <c r="B26" s="2" t="s">
        <v>128</v>
      </c>
      <c r="C26" s="2" t="s">
        <v>121</v>
      </c>
      <c r="D26" s="4" t="s">
        <v>122</v>
      </c>
      <c r="E26" s="2" t="s">
        <v>121</v>
      </c>
      <c r="F26" s="2"/>
      <c r="G26" s="2"/>
      <c r="H26" s="2"/>
      <c r="I26" s="2"/>
      <c r="J26" s="2"/>
      <c r="K26" s="2"/>
    </row>
    <row r="27" spans="1:11" ht="30">
      <c r="A27" s="2" t="s">
        <v>129</v>
      </c>
      <c r="B27" s="2" t="s">
        <v>130</v>
      </c>
      <c r="C27" s="2" t="s">
        <v>121</v>
      </c>
      <c r="D27" s="4" t="s">
        <v>131</v>
      </c>
      <c r="E27" s="2" t="s">
        <v>121</v>
      </c>
      <c r="F27" s="2"/>
      <c r="G27" s="2"/>
      <c r="H27" s="2"/>
      <c r="I27" s="2"/>
      <c r="J27" s="2"/>
      <c r="K27" s="2"/>
    </row>
    <row r="28" spans="1:11">
      <c r="A28" s="2"/>
      <c r="B28" s="2"/>
      <c r="C28" s="2"/>
      <c r="D28" s="2"/>
      <c r="E28" s="2"/>
      <c r="F28" s="2"/>
      <c r="G28" s="2"/>
      <c r="H28" s="2"/>
      <c r="I28" s="2"/>
      <c r="J28" s="2"/>
      <c r="K28" s="2"/>
    </row>
    <row r="29" spans="1:11">
      <c r="A29" s="2"/>
      <c r="B29" s="2"/>
      <c r="C29" s="2"/>
      <c r="D29" s="2"/>
      <c r="E29" s="2"/>
      <c r="F29" s="2"/>
      <c r="G29" s="2"/>
      <c r="H29" s="2"/>
      <c r="I29" s="2"/>
      <c r="J29" s="2"/>
      <c r="K29" s="2"/>
    </row>
    <row r="30" spans="1:11">
      <c r="A30" s="2"/>
      <c r="B30" s="2"/>
      <c r="C30" s="2"/>
      <c r="D30" s="2"/>
      <c r="E30" s="2"/>
      <c r="F30" s="2"/>
      <c r="G30" s="2"/>
      <c r="H30" s="2"/>
      <c r="I30" s="2"/>
      <c r="J30" s="2"/>
      <c r="K30" s="2"/>
    </row>
    <row r="31" spans="1:11" ht="32">
      <c r="A31" s="3" t="s">
        <v>53</v>
      </c>
      <c r="B31" s="3" t="s">
        <v>28</v>
      </c>
      <c r="C31" s="3" t="s">
        <v>132</v>
      </c>
      <c r="D31" s="3" t="s">
        <v>56</v>
      </c>
      <c r="E31" s="3" t="s">
        <v>133</v>
      </c>
      <c r="F31" s="3" t="s">
        <v>29</v>
      </c>
      <c r="G31" s="3" t="s">
        <v>134</v>
      </c>
      <c r="H31" s="3" t="s">
        <v>135</v>
      </c>
      <c r="I31" s="2"/>
      <c r="J31" s="3" t="s">
        <v>136</v>
      </c>
      <c r="K31" s="3"/>
    </row>
    <row r="32" spans="1:11" ht="30">
      <c r="A32" s="2" t="s">
        <v>137</v>
      </c>
      <c r="B32" s="2" t="s">
        <v>32</v>
      </c>
      <c r="C32" s="2" t="s">
        <v>138</v>
      </c>
      <c r="D32" s="4" t="s">
        <v>139</v>
      </c>
      <c r="E32" s="8">
        <v>8</v>
      </c>
      <c r="F32" s="8">
        <f>IFERROR(VLOOKUP(A32&amp;D32,'Scoring Model'!$D$2:$E$200,2,FALSE),0)</f>
        <v>40</v>
      </c>
      <c r="G32" s="8">
        <f t="shared" ref="G32:G51" si="0">E32*F32</f>
        <v>320</v>
      </c>
      <c r="H32" s="2"/>
      <c r="I32" s="2"/>
      <c r="J32" s="2" t="s">
        <v>31</v>
      </c>
      <c r="K32" s="2">
        <f>SUMIFS($G$32:$G$51,$B$32:$B$51,"Executive Assurance")/SUMIFS($E$32:$E$51,$B$32:$B$51,"Executive Assurance")</f>
        <v>76.186440677966104</v>
      </c>
    </row>
    <row r="33" spans="1:11" ht="45">
      <c r="A33" s="2" t="s">
        <v>140</v>
      </c>
      <c r="B33" s="2" t="s">
        <v>31</v>
      </c>
      <c r="C33" s="2" t="s">
        <v>141</v>
      </c>
      <c r="D33" s="4" t="s">
        <v>142</v>
      </c>
      <c r="E33" s="8">
        <v>10</v>
      </c>
      <c r="F33" s="8">
        <f>IFERROR(VLOOKUP(A33&amp;D33,'Scoring Model'!$D$2:$E$200,2,FALSE),0)</f>
        <v>80</v>
      </c>
      <c r="G33" s="8">
        <f t="shared" si="0"/>
        <v>800</v>
      </c>
      <c r="H33" s="2"/>
      <c r="I33" s="2"/>
      <c r="J33" s="2" t="s">
        <v>32</v>
      </c>
      <c r="K33" s="2">
        <f>SUMIFS($G$32:$G$51,$B$32:$B$51,"Contract and SLA Enforcement")/SUMIFS($E$32:$E$51,$B$32:$B$51,"Contract and SLA Enforcement")</f>
        <v>60.760869565217391</v>
      </c>
    </row>
    <row r="34" spans="1:11" ht="30">
      <c r="A34" s="2" t="s">
        <v>143</v>
      </c>
      <c r="B34" s="2" t="s">
        <v>31</v>
      </c>
      <c r="C34" s="2" t="s">
        <v>144</v>
      </c>
      <c r="D34" s="4" t="s">
        <v>145</v>
      </c>
      <c r="E34" s="8">
        <v>9</v>
      </c>
      <c r="F34" s="8">
        <f>IFERROR(VLOOKUP(A34&amp;D34,'Scoring Model'!$D$2:$E$200,2,FALSE),0)</f>
        <v>70</v>
      </c>
      <c r="G34" s="8">
        <f t="shared" si="0"/>
        <v>630</v>
      </c>
      <c r="H34" s="2"/>
      <c r="I34" s="2"/>
      <c r="J34" s="2" t="s">
        <v>33</v>
      </c>
      <c r="K34" s="2">
        <f>SUMIFS($G$32:$G$51,$B$32:$B$51,"Labour Deployment")/SUMIFS($E$32:$E$51,$B$32:$B$51,"Labour Deployment")</f>
        <v>70.333333333333329</v>
      </c>
    </row>
    <row r="35" spans="1:11" ht="45">
      <c r="A35" s="2" t="s">
        <v>146</v>
      </c>
      <c r="B35" s="2" t="s">
        <v>32</v>
      </c>
      <c r="C35" s="2" t="s">
        <v>147</v>
      </c>
      <c r="D35" s="4" t="s">
        <v>148</v>
      </c>
      <c r="E35" s="8">
        <v>9</v>
      </c>
      <c r="F35" s="8">
        <f>IFERROR(VLOOKUP(A35&amp;D35,'Scoring Model'!$D$2:$E$200,2,FALSE),0)</f>
        <v>90</v>
      </c>
      <c r="G35" s="8">
        <f t="shared" si="0"/>
        <v>810</v>
      </c>
      <c r="H35" s="2"/>
      <c r="I35" s="2"/>
      <c r="J35" s="2" t="s">
        <v>34</v>
      </c>
      <c r="K35" s="2">
        <f>SUMIFS($G$32:$G$51,$B$32:$B$51,"Technology Verification")/SUMIFS($E$32:$E$51,$B$32:$B$51,"Technology Verification")</f>
        <v>76.36363636363636</v>
      </c>
    </row>
    <row r="36" spans="1:11" ht="30">
      <c r="A36" s="2" t="s">
        <v>149</v>
      </c>
      <c r="B36" s="2" t="s">
        <v>32</v>
      </c>
      <c r="C36" s="2" t="s">
        <v>150</v>
      </c>
      <c r="D36" s="4" t="s">
        <v>151</v>
      </c>
      <c r="E36" s="8">
        <v>8</v>
      </c>
      <c r="F36" s="8">
        <f>IFERROR(VLOOKUP(A36&amp;D36,'Scoring Model'!$D$2:$E$200,2,FALSE),0)</f>
        <v>70</v>
      </c>
      <c r="G36" s="8">
        <f t="shared" si="0"/>
        <v>560</v>
      </c>
      <c r="H36" s="2"/>
      <c r="I36" s="2"/>
      <c r="J36" s="2" t="s">
        <v>35</v>
      </c>
      <c r="K36" s="2">
        <f>SUMIFS($G$32:$G$51,$B$32:$B$51,"Loss, Reporting and Value")/SUMIFS($E$32:$E$51,$B$32:$B$51,"Loss, Reporting and Value")</f>
        <v>78</v>
      </c>
    </row>
    <row r="37" spans="1:11" ht="30">
      <c r="A37" s="2" t="s">
        <v>152</v>
      </c>
      <c r="B37" s="2" t="s">
        <v>33</v>
      </c>
      <c r="C37" s="2" t="s">
        <v>153</v>
      </c>
      <c r="D37" s="4" t="s">
        <v>142</v>
      </c>
      <c r="E37" s="8">
        <v>8</v>
      </c>
      <c r="F37" s="8">
        <f>IFERROR(VLOOKUP(A37&amp;D37,'Scoring Model'!$D$2:$E$200,2,FALSE),0)</f>
        <v>75</v>
      </c>
      <c r="G37" s="8">
        <f t="shared" si="0"/>
        <v>600</v>
      </c>
      <c r="H37" s="2"/>
      <c r="I37" s="2"/>
      <c r="J37" s="2" t="s">
        <v>154</v>
      </c>
      <c r="K37" s="2">
        <f>SUM($G$32:$G$51)/SUM($E$32:$E$51)</f>
        <v>71.30573248407643</v>
      </c>
    </row>
    <row r="38" spans="1:11" ht="30">
      <c r="A38" s="2" t="s">
        <v>155</v>
      </c>
      <c r="B38" s="2" t="s">
        <v>33</v>
      </c>
      <c r="C38" s="2" t="s">
        <v>156</v>
      </c>
      <c r="D38" s="4" t="s">
        <v>142</v>
      </c>
      <c r="E38" s="8">
        <v>7</v>
      </c>
      <c r="F38" s="8">
        <f>IFERROR(VLOOKUP(A38&amp;D38,'Scoring Model'!$D$2:$E$200,2,FALSE),0)</f>
        <v>65</v>
      </c>
      <c r="G38" s="8">
        <f t="shared" si="0"/>
        <v>455</v>
      </c>
      <c r="H38" s="2"/>
      <c r="I38" s="2"/>
      <c r="J38" s="2" t="s">
        <v>157</v>
      </c>
      <c r="K38" s="2">
        <f>D9</f>
        <v>480000000</v>
      </c>
    </row>
    <row r="39" spans="1:11" ht="30">
      <c r="A39" s="2" t="s">
        <v>158</v>
      </c>
      <c r="B39" s="2" t="s">
        <v>31</v>
      </c>
      <c r="C39" s="2" t="s">
        <v>159</v>
      </c>
      <c r="D39" s="4" t="s">
        <v>160</v>
      </c>
      <c r="E39" s="8">
        <v>8</v>
      </c>
      <c r="F39" s="8">
        <f>IFERROR(VLOOKUP(A39&amp;D39,'Scoring Model'!$D$2:$E$200,2,FALSE),0)</f>
        <v>70</v>
      </c>
      <c r="G39" s="8">
        <f t="shared" si="0"/>
        <v>560</v>
      </c>
      <c r="H39" s="2"/>
      <c r="I39" s="2"/>
      <c r="J39" s="2" t="s">
        <v>161</v>
      </c>
      <c r="K39" s="9">
        <f>Calculations!B34</f>
        <v>0.53750000000000009</v>
      </c>
    </row>
    <row r="40" spans="1:11" ht="30">
      <c r="A40" s="2" t="s">
        <v>162</v>
      </c>
      <c r="B40" s="2" t="s">
        <v>34</v>
      </c>
      <c r="C40" s="2" t="s">
        <v>163</v>
      </c>
      <c r="D40" s="4" t="s">
        <v>145</v>
      </c>
      <c r="E40" s="8">
        <v>7</v>
      </c>
      <c r="F40" s="8">
        <f>IFERROR(VLOOKUP(A40&amp;D40,'Scoring Model'!$D$2:$E$200,2,FALSE),0)</f>
        <v>70</v>
      </c>
      <c r="G40" s="8">
        <f t="shared" si="0"/>
        <v>490</v>
      </c>
      <c r="H40" s="2"/>
      <c r="I40" s="2"/>
      <c r="J40" s="2" t="s">
        <v>20</v>
      </c>
      <c r="K40" s="9">
        <f>Calculations!B28</f>
        <v>5.8631230031948887E-2</v>
      </c>
    </row>
    <row r="41" spans="1:11" ht="30">
      <c r="A41" s="2" t="s">
        <v>164</v>
      </c>
      <c r="B41" s="2" t="s">
        <v>34</v>
      </c>
      <c r="C41" s="2" t="s">
        <v>165</v>
      </c>
      <c r="D41" s="4" t="s">
        <v>145</v>
      </c>
      <c r="E41" s="8">
        <v>8</v>
      </c>
      <c r="F41" s="8">
        <f>IFERROR(VLOOKUP(A41&amp;D41,'Scoring Model'!$D$2:$E$200,2,FALSE),0)</f>
        <v>70</v>
      </c>
      <c r="G41" s="8">
        <f t="shared" si="0"/>
        <v>560</v>
      </c>
      <c r="H41" s="2"/>
      <c r="I41" s="2"/>
      <c r="J41" s="2" t="s">
        <v>22</v>
      </c>
      <c r="K41" s="9">
        <f>Calculations!B29</f>
        <v>0.12</v>
      </c>
    </row>
    <row r="42" spans="1:11" ht="30">
      <c r="A42" s="2" t="s">
        <v>166</v>
      </c>
      <c r="B42" s="2" t="s">
        <v>31</v>
      </c>
      <c r="C42" s="2" t="s">
        <v>167</v>
      </c>
      <c r="D42" s="4" t="s">
        <v>168</v>
      </c>
      <c r="E42" s="8">
        <v>8</v>
      </c>
      <c r="F42" s="8">
        <f>IFERROR(VLOOKUP(A42&amp;D42,'Scoring Model'!$D$2:$E$200,2,FALSE),0)</f>
        <v>80</v>
      </c>
      <c r="G42" s="8">
        <f t="shared" si="0"/>
        <v>640</v>
      </c>
      <c r="H42" s="2"/>
      <c r="I42" s="2"/>
      <c r="J42" s="2" t="s">
        <v>24</v>
      </c>
      <c r="K42" s="10">
        <f>Calculations!B30</f>
        <v>0.2</v>
      </c>
    </row>
    <row r="43" spans="1:11" ht="30">
      <c r="A43" s="2" t="s">
        <v>169</v>
      </c>
      <c r="B43" s="2" t="s">
        <v>35</v>
      </c>
      <c r="C43" s="2" t="s">
        <v>170</v>
      </c>
      <c r="D43" s="4" t="s">
        <v>142</v>
      </c>
      <c r="E43" s="8">
        <v>7</v>
      </c>
      <c r="F43" s="8">
        <f>IFERROR(VLOOKUP(A43&amp;D43,'Scoring Model'!$D$2:$E$200,2,FALSE),0)</f>
        <v>70</v>
      </c>
      <c r="G43" s="8">
        <f t="shared" si="0"/>
        <v>490</v>
      </c>
      <c r="H43" s="2"/>
      <c r="I43" s="2"/>
      <c r="J43" s="2" t="s">
        <v>171</v>
      </c>
      <c r="K43" s="10">
        <f>Calculations!B31</f>
        <v>28142990.415335465</v>
      </c>
    </row>
    <row r="44" spans="1:11" ht="30">
      <c r="A44" s="2" t="s">
        <v>172</v>
      </c>
      <c r="B44" s="2" t="s">
        <v>32</v>
      </c>
      <c r="C44" s="2" t="s">
        <v>173</v>
      </c>
      <c r="D44" s="4" t="s">
        <v>174</v>
      </c>
      <c r="E44" s="8">
        <v>6</v>
      </c>
      <c r="F44" s="8">
        <f>IFERROR(VLOOKUP(A44&amp;D44,'Scoring Model'!$D$2:$E$200,2,FALSE),0)</f>
        <v>45</v>
      </c>
      <c r="G44" s="8">
        <f t="shared" si="0"/>
        <v>270</v>
      </c>
      <c r="H44" s="2"/>
      <c r="I44" s="2"/>
      <c r="J44" s="2" t="s">
        <v>175</v>
      </c>
      <c r="K44" s="10">
        <f>Calculations!B32</f>
        <v>57600000</v>
      </c>
    </row>
    <row r="45" spans="1:11" ht="30">
      <c r="A45" s="2" t="s">
        <v>176</v>
      </c>
      <c r="B45" s="2" t="s">
        <v>31</v>
      </c>
      <c r="C45" s="2" t="s">
        <v>177</v>
      </c>
      <c r="D45" s="4" t="s">
        <v>178</v>
      </c>
      <c r="E45" s="8">
        <v>8</v>
      </c>
      <c r="F45" s="8">
        <f>IFERROR(VLOOKUP(A45&amp;D45,'Scoring Model'!$D$2:$E$200,2,FALSE),0)</f>
        <v>75</v>
      </c>
      <c r="G45" s="8">
        <f t="shared" si="0"/>
        <v>600</v>
      </c>
      <c r="H45" s="2"/>
      <c r="I45" s="2"/>
      <c r="J45" s="2" t="s">
        <v>179</v>
      </c>
      <c r="K45" s="10">
        <f>Calculations!B33</f>
        <v>96000000</v>
      </c>
    </row>
    <row r="46" spans="1:11" ht="30">
      <c r="A46" s="2" t="s">
        <v>180</v>
      </c>
      <c r="B46" s="2" t="s">
        <v>32</v>
      </c>
      <c r="C46" s="2" t="s">
        <v>181</v>
      </c>
      <c r="D46" s="4" t="s">
        <v>182</v>
      </c>
      <c r="E46" s="8">
        <v>7</v>
      </c>
      <c r="F46" s="8">
        <f>IFERROR(VLOOKUP(A46&amp;D46,'Scoring Model'!$D$2:$E$200,2,FALSE),0)</f>
        <v>45</v>
      </c>
      <c r="G46" s="8">
        <f t="shared" si="0"/>
        <v>315</v>
      </c>
      <c r="H46" s="2"/>
      <c r="I46" s="2"/>
      <c r="J46" s="2" t="s">
        <v>16</v>
      </c>
      <c r="K46" s="10">
        <f>Calculations!B35</f>
        <v>12664345.68690096</v>
      </c>
    </row>
    <row r="47" spans="1:11" ht="30">
      <c r="A47" s="2" t="s">
        <v>183</v>
      </c>
      <c r="B47" s="2" t="s">
        <v>34</v>
      </c>
      <c r="C47" s="2" t="s">
        <v>184</v>
      </c>
      <c r="D47" s="4" t="s">
        <v>148</v>
      </c>
      <c r="E47" s="8">
        <v>7</v>
      </c>
      <c r="F47" s="8">
        <f>IFERROR(VLOOKUP(A47&amp;D47,'Scoring Model'!$D$2:$E$200,2,FALSE),0)</f>
        <v>90</v>
      </c>
      <c r="G47" s="8">
        <f t="shared" si="0"/>
        <v>630</v>
      </c>
      <c r="H47" s="2"/>
      <c r="I47" s="2"/>
      <c r="J47" s="2" t="s">
        <v>18</v>
      </c>
      <c r="K47" s="10">
        <f>Calculations!B36</f>
        <v>37440000</v>
      </c>
    </row>
    <row r="48" spans="1:11" ht="30">
      <c r="A48" s="2" t="s">
        <v>185</v>
      </c>
      <c r="B48" s="2" t="s">
        <v>35</v>
      </c>
      <c r="C48" s="2" t="s">
        <v>186</v>
      </c>
      <c r="D48" s="4" t="s">
        <v>187</v>
      </c>
      <c r="E48" s="8">
        <v>8</v>
      </c>
      <c r="F48" s="8">
        <f>IFERROR(VLOOKUP(A48&amp;D48,'Scoring Model'!$D$2:$E$200,2,FALSE),0)</f>
        <v>85</v>
      </c>
      <c r="G48" s="8">
        <f t="shared" si="0"/>
        <v>680</v>
      </c>
      <c r="H48" s="2"/>
      <c r="I48" s="2"/>
      <c r="J48" s="2" t="s">
        <v>188</v>
      </c>
      <c r="K48" s="9">
        <f>Calculations!B34</f>
        <v>0.53750000000000009</v>
      </c>
    </row>
    <row r="49" spans="1:11" ht="30">
      <c r="A49" s="2" t="s">
        <v>189</v>
      </c>
      <c r="B49" s="2" t="s">
        <v>31</v>
      </c>
      <c r="C49" s="2" t="s">
        <v>190</v>
      </c>
      <c r="D49" s="4" t="s">
        <v>187</v>
      </c>
      <c r="E49" s="8">
        <v>9</v>
      </c>
      <c r="F49" s="8">
        <f>IFERROR(VLOOKUP(A49&amp;D49,'Scoring Model'!$D$2:$E$200,2,FALSE),0)</f>
        <v>90</v>
      </c>
      <c r="G49" s="8">
        <f t="shared" si="0"/>
        <v>810</v>
      </c>
      <c r="H49" s="2"/>
      <c r="I49" s="2"/>
      <c r="J49" s="2"/>
      <c r="K49" s="2"/>
    </row>
    <row r="50" spans="1:11" ht="30">
      <c r="A50" s="2" t="s">
        <v>191</v>
      </c>
      <c r="B50" s="2" t="s">
        <v>31</v>
      </c>
      <c r="C50" s="2" t="s">
        <v>192</v>
      </c>
      <c r="D50" s="4" t="s">
        <v>193</v>
      </c>
      <c r="E50" s="8">
        <v>7</v>
      </c>
      <c r="F50" s="8">
        <f>IFERROR(VLOOKUP(A50&amp;D50,'Scoring Model'!$D$2:$E$200,2,FALSE),0)</f>
        <v>65</v>
      </c>
      <c r="G50" s="8">
        <f t="shared" si="0"/>
        <v>455</v>
      </c>
      <c r="H50" s="2"/>
      <c r="I50" s="2"/>
      <c r="J50" s="2"/>
      <c r="K50" s="2"/>
    </row>
    <row r="51" spans="1:11" ht="30">
      <c r="A51" s="2" t="s">
        <v>194</v>
      </c>
      <c r="B51" s="2" t="s">
        <v>32</v>
      </c>
      <c r="C51" s="2" t="s">
        <v>195</v>
      </c>
      <c r="D51" s="4" t="s">
        <v>196</v>
      </c>
      <c r="E51" s="8">
        <v>8</v>
      </c>
      <c r="F51" s="8">
        <f>IFERROR(VLOOKUP(A51&amp;D51,'Scoring Model'!$D$2:$E$200,2,FALSE),0)</f>
        <v>65</v>
      </c>
      <c r="G51" s="8">
        <f t="shared" si="0"/>
        <v>520</v>
      </c>
      <c r="H51" s="2"/>
      <c r="I51" s="2"/>
      <c r="J51" s="2"/>
      <c r="K51" s="2"/>
    </row>
  </sheetData>
  <mergeCells count="2">
    <mergeCell ref="A1:K1"/>
    <mergeCell ref="A2:K2"/>
  </mergeCells>
  <dataValidations count="15">
    <dataValidation type="list" sqref="D6" xr:uid="{00000000-0002-0000-0100-000000000000}">
      <formula1>"Telecommunications,Mining,Energy / Utilities,Ports and Logistics,Manufacturing,Retail,Financial Services,Data Centres,Government / Public Infrastructure,Healthcare,Other"</formula1>
    </dataValidation>
    <dataValidation type="list" sqref="D23:D27" xr:uid="{00000000-0002-0000-0100-000001000000}">
      <formula1>"YES,NO"</formula1>
    </dataValidation>
    <dataValidation type="list" sqref="D32" xr:uid="{00000000-0002-0000-0100-000006000000}">
      <formula1>"Yes – comprehensive SLA,Yes – partial/basic SLA,No formal SLA,Unknown"</formula1>
    </dataValidation>
    <dataValidation type="list" sqref="D33 D48:D49 D43" xr:uid="{00000000-0002-0000-0100-000007000000}">
      <formula1>"Yes,Partially,No,Unknown"</formula1>
    </dataValidation>
    <dataValidation type="list" sqref="D47 D40:D41 D34:D35" xr:uid="{00000000-0002-0000-0100-000008000000}">
      <formula1>"0–20%,21–40%,41–60%,61–80%,81–100%,Unknown"</formula1>
    </dataValidation>
    <dataValidation type="list" sqref="D36" xr:uid="{00000000-0002-0000-0100-00000A000000}">
      <formula1>"None recovered,Less than 1% of annual contract value,1–3% of annual contract value,More than 3% of annual contract value,Unknown"</formula1>
    </dataValidation>
    <dataValidation type="list" sqref="D37" xr:uid="{00000000-0002-0000-0100-00000B000000}">
      <formula1>"Yes – independently validated,Partially validated,No,Unknown"</formula1>
    </dataValidation>
    <dataValidation type="list" sqref="D38" xr:uid="{00000000-0002-0000-0100-00000C000000}">
      <formula1>"None,Few,Many,Unknown"</formula1>
    </dataValidation>
    <dataValidation type="list" sqref="D39" xr:uid="{00000000-0002-0000-0100-00000D000000}">
      <formula1>"Low reliance,Moderate reliance,High reliance,Almost entirely manual"</formula1>
    </dataValidation>
    <dataValidation type="list" sqref="D42" xr:uid="{00000000-0002-0000-0100-000010000000}">
      <formula1>"Yes – evidence-based assurance reporting,Partially,No – mostly activity reporting,Unknown"</formula1>
    </dataValidation>
    <dataValidation type="list" sqref="D44" xr:uid="{00000000-0002-0000-0100-000012000000}">
      <formula1>"Formal pre-approval and reconciliation,Some post-facto review,Weak control,Unknown"</formula1>
    </dataValidation>
    <dataValidation type="list" sqref="D45" xr:uid="{00000000-0002-0000-0100-000013000000}">
      <formula1>"Yes – representative monthly sampling,Selected sites only,Rarely,No"</formula1>
    </dataValidation>
    <dataValidation type="list" sqref="D46" xr:uid="{00000000-0002-0000-0100-000014000000}">
      <formula1>"Yes – formal consequence management,Partial/inconsistent,No,Unknown"</formula1>
    </dataValidation>
    <dataValidation type="list" sqref="D50" xr:uid="{00000000-0002-0000-0100-000018000000}">
      <formula1>"Monthly,Quarterly,Ad hoc,None,Unknown"</formula1>
    </dataValidation>
    <dataValidation type="list" sqref="D51" xr:uid="{00000000-0002-0000-0100-000019000000}">
      <formula1>"Yes – identified and applied,Identified but not applied,No penalties identified,No SLA,Unknown"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4"/>
  <sheetViews>
    <sheetView workbookViewId="0"/>
  </sheetViews>
  <sheetFormatPr baseColWidth="10" defaultColWidth="8.83203125" defaultRowHeight="14"/>
  <cols>
    <col min="1" max="1" width="12" customWidth="1"/>
    <col min="2" max="2" width="38" customWidth="1"/>
    <col min="3" max="3" width="28" customWidth="1"/>
    <col min="4" max="4" width="50" customWidth="1"/>
    <col min="5" max="5" width="12" customWidth="1"/>
  </cols>
  <sheetData>
    <row r="1" spans="1:5" ht="16">
      <c r="A1" s="3" t="s">
        <v>197</v>
      </c>
      <c r="B1" s="3" t="s">
        <v>198</v>
      </c>
      <c r="C1" s="3" t="s">
        <v>28</v>
      </c>
      <c r="D1" s="3" t="s">
        <v>199</v>
      </c>
      <c r="E1" s="3" t="s">
        <v>29</v>
      </c>
    </row>
    <row r="2" spans="1:5" ht="15">
      <c r="A2" s="2" t="s">
        <v>137</v>
      </c>
      <c r="B2" s="2" t="s">
        <v>200</v>
      </c>
      <c r="C2" s="2" t="s">
        <v>32</v>
      </c>
      <c r="D2" s="2" t="s">
        <v>201</v>
      </c>
      <c r="E2" s="2">
        <v>0</v>
      </c>
    </row>
    <row r="3" spans="1:5" ht="15">
      <c r="A3" s="2" t="s">
        <v>137</v>
      </c>
      <c r="B3" s="2" t="s">
        <v>139</v>
      </c>
      <c r="C3" s="2" t="s">
        <v>32</v>
      </c>
      <c r="D3" s="2" t="s">
        <v>202</v>
      </c>
      <c r="E3" s="2">
        <v>40</v>
      </c>
    </row>
    <row r="4" spans="1:5" ht="15">
      <c r="A4" s="2" t="s">
        <v>137</v>
      </c>
      <c r="B4" s="2" t="s">
        <v>203</v>
      </c>
      <c r="C4" s="2" t="s">
        <v>32</v>
      </c>
      <c r="D4" s="2" t="s">
        <v>204</v>
      </c>
      <c r="E4" s="2">
        <v>90</v>
      </c>
    </row>
    <row r="5" spans="1:5" ht="15">
      <c r="A5" s="2" t="s">
        <v>137</v>
      </c>
      <c r="B5" s="2" t="s">
        <v>142</v>
      </c>
      <c r="C5" s="2" t="s">
        <v>32</v>
      </c>
      <c r="D5" s="2" t="s">
        <v>205</v>
      </c>
      <c r="E5" s="2">
        <v>75</v>
      </c>
    </row>
    <row r="6" spans="1:5" ht="15">
      <c r="A6" s="2" t="s">
        <v>140</v>
      </c>
      <c r="B6" s="2" t="s">
        <v>206</v>
      </c>
      <c r="C6" s="2" t="s">
        <v>31</v>
      </c>
      <c r="D6" s="2" t="s">
        <v>207</v>
      </c>
      <c r="E6" s="2">
        <v>0</v>
      </c>
    </row>
    <row r="7" spans="1:5" ht="15">
      <c r="A7" s="2" t="s">
        <v>140</v>
      </c>
      <c r="B7" s="2" t="s">
        <v>208</v>
      </c>
      <c r="C7" s="2" t="s">
        <v>31</v>
      </c>
      <c r="D7" s="2" t="s">
        <v>209</v>
      </c>
      <c r="E7" s="2">
        <v>50</v>
      </c>
    </row>
    <row r="8" spans="1:5" ht="15">
      <c r="A8" s="2" t="s">
        <v>140</v>
      </c>
      <c r="B8" s="2" t="s">
        <v>187</v>
      </c>
      <c r="C8" s="2" t="s">
        <v>31</v>
      </c>
      <c r="D8" s="2" t="s">
        <v>210</v>
      </c>
      <c r="E8" s="2">
        <v>95</v>
      </c>
    </row>
    <row r="9" spans="1:5" ht="15">
      <c r="A9" s="2" t="s">
        <v>140</v>
      </c>
      <c r="B9" s="2" t="s">
        <v>142</v>
      </c>
      <c r="C9" s="2" t="s">
        <v>31</v>
      </c>
      <c r="D9" s="2" t="s">
        <v>211</v>
      </c>
      <c r="E9" s="2">
        <v>80</v>
      </c>
    </row>
    <row r="10" spans="1:5" ht="15">
      <c r="A10" s="2" t="s">
        <v>143</v>
      </c>
      <c r="B10" s="2" t="s">
        <v>148</v>
      </c>
      <c r="C10" s="2" t="s">
        <v>31</v>
      </c>
      <c r="D10" s="2" t="s">
        <v>212</v>
      </c>
      <c r="E10" s="2">
        <v>90</v>
      </c>
    </row>
    <row r="11" spans="1:5" ht="15">
      <c r="A11" s="2" t="s">
        <v>143</v>
      </c>
      <c r="B11" s="2" t="s">
        <v>145</v>
      </c>
      <c r="C11" s="2" t="s">
        <v>31</v>
      </c>
      <c r="D11" s="2" t="s">
        <v>213</v>
      </c>
      <c r="E11" s="2">
        <v>70</v>
      </c>
    </row>
    <row r="12" spans="1:5" ht="15">
      <c r="A12" s="2" t="s">
        <v>143</v>
      </c>
      <c r="B12" s="2" t="s">
        <v>214</v>
      </c>
      <c r="C12" s="2" t="s">
        <v>31</v>
      </c>
      <c r="D12" s="2" t="s">
        <v>215</v>
      </c>
      <c r="E12" s="2">
        <v>50</v>
      </c>
    </row>
    <row r="13" spans="1:5" ht="15">
      <c r="A13" s="2" t="s">
        <v>143</v>
      </c>
      <c r="B13" s="2" t="s">
        <v>216</v>
      </c>
      <c r="C13" s="2" t="s">
        <v>31</v>
      </c>
      <c r="D13" s="2" t="s">
        <v>217</v>
      </c>
      <c r="E13" s="2">
        <v>25</v>
      </c>
    </row>
    <row r="14" spans="1:5" ht="15">
      <c r="A14" s="2" t="s">
        <v>143</v>
      </c>
      <c r="B14" s="2" t="s">
        <v>218</v>
      </c>
      <c r="C14" s="2" t="s">
        <v>31</v>
      </c>
      <c r="D14" s="2" t="s">
        <v>219</v>
      </c>
      <c r="E14" s="2">
        <v>5</v>
      </c>
    </row>
    <row r="15" spans="1:5" ht="15">
      <c r="A15" s="2" t="s">
        <v>143</v>
      </c>
      <c r="B15" s="2" t="s">
        <v>142</v>
      </c>
      <c r="C15" s="2" t="s">
        <v>31</v>
      </c>
      <c r="D15" s="2" t="s">
        <v>220</v>
      </c>
      <c r="E15" s="2">
        <v>75</v>
      </c>
    </row>
    <row r="16" spans="1:5" ht="15">
      <c r="A16" s="2" t="s">
        <v>146</v>
      </c>
      <c r="B16" s="2" t="s">
        <v>148</v>
      </c>
      <c r="C16" s="2" t="s">
        <v>32</v>
      </c>
      <c r="D16" s="2" t="s">
        <v>221</v>
      </c>
      <c r="E16" s="2">
        <v>90</v>
      </c>
    </row>
    <row r="17" spans="1:5" ht="15">
      <c r="A17" s="2" t="s">
        <v>146</v>
      </c>
      <c r="B17" s="2" t="s">
        <v>145</v>
      </c>
      <c r="C17" s="2" t="s">
        <v>32</v>
      </c>
      <c r="D17" s="2" t="s">
        <v>222</v>
      </c>
      <c r="E17" s="2">
        <v>70</v>
      </c>
    </row>
    <row r="18" spans="1:5" ht="15">
      <c r="A18" s="2" t="s">
        <v>146</v>
      </c>
      <c r="B18" s="2" t="s">
        <v>214</v>
      </c>
      <c r="C18" s="2" t="s">
        <v>32</v>
      </c>
      <c r="D18" s="2" t="s">
        <v>223</v>
      </c>
      <c r="E18" s="2">
        <v>50</v>
      </c>
    </row>
    <row r="19" spans="1:5" ht="15">
      <c r="A19" s="2" t="s">
        <v>146</v>
      </c>
      <c r="B19" s="2" t="s">
        <v>216</v>
      </c>
      <c r="C19" s="2" t="s">
        <v>32</v>
      </c>
      <c r="D19" s="2" t="s">
        <v>224</v>
      </c>
      <c r="E19" s="2">
        <v>25</v>
      </c>
    </row>
    <row r="20" spans="1:5" ht="15">
      <c r="A20" s="2" t="s">
        <v>146</v>
      </c>
      <c r="B20" s="2" t="s">
        <v>218</v>
      </c>
      <c r="C20" s="2" t="s">
        <v>32</v>
      </c>
      <c r="D20" s="2" t="s">
        <v>225</v>
      </c>
      <c r="E20" s="2">
        <v>5</v>
      </c>
    </row>
    <row r="21" spans="1:5" ht="15">
      <c r="A21" s="2" t="s">
        <v>146</v>
      </c>
      <c r="B21" s="2" t="s">
        <v>142</v>
      </c>
      <c r="C21" s="2" t="s">
        <v>32</v>
      </c>
      <c r="D21" s="2" t="s">
        <v>226</v>
      </c>
      <c r="E21" s="2">
        <v>75</v>
      </c>
    </row>
    <row r="22" spans="1:5" ht="15">
      <c r="A22" s="2" t="s">
        <v>162</v>
      </c>
      <c r="B22" s="2" t="s">
        <v>148</v>
      </c>
      <c r="C22" s="2" t="s">
        <v>34</v>
      </c>
      <c r="D22" s="2" t="s">
        <v>227</v>
      </c>
      <c r="E22" s="2">
        <v>90</v>
      </c>
    </row>
    <row r="23" spans="1:5" ht="15">
      <c r="A23" s="2" t="s">
        <v>162</v>
      </c>
      <c r="B23" s="2" t="s">
        <v>145</v>
      </c>
      <c r="C23" s="2" t="s">
        <v>34</v>
      </c>
      <c r="D23" s="2" t="s">
        <v>228</v>
      </c>
      <c r="E23" s="2">
        <v>70</v>
      </c>
    </row>
    <row r="24" spans="1:5" ht="15">
      <c r="A24" s="2" t="s">
        <v>162</v>
      </c>
      <c r="B24" s="2" t="s">
        <v>214</v>
      </c>
      <c r="C24" s="2" t="s">
        <v>34</v>
      </c>
      <c r="D24" s="2" t="s">
        <v>229</v>
      </c>
      <c r="E24" s="2">
        <v>50</v>
      </c>
    </row>
    <row r="25" spans="1:5" ht="15">
      <c r="A25" s="2" t="s">
        <v>162</v>
      </c>
      <c r="B25" s="2" t="s">
        <v>216</v>
      </c>
      <c r="C25" s="2" t="s">
        <v>34</v>
      </c>
      <c r="D25" s="2" t="s">
        <v>230</v>
      </c>
      <c r="E25" s="2">
        <v>25</v>
      </c>
    </row>
    <row r="26" spans="1:5" ht="15">
      <c r="A26" s="2" t="s">
        <v>162</v>
      </c>
      <c r="B26" s="2" t="s">
        <v>218</v>
      </c>
      <c r="C26" s="2" t="s">
        <v>34</v>
      </c>
      <c r="D26" s="2" t="s">
        <v>231</v>
      </c>
      <c r="E26" s="2">
        <v>5</v>
      </c>
    </row>
    <row r="27" spans="1:5" ht="15">
      <c r="A27" s="2" t="s">
        <v>162</v>
      </c>
      <c r="B27" s="2" t="s">
        <v>142</v>
      </c>
      <c r="C27" s="2" t="s">
        <v>34</v>
      </c>
      <c r="D27" s="2" t="s">
        <v>232</v>
      </c>
      <c r="E27" s="2">
        <v>75</v>
      </c>
    </row>
    <row r="28" spans="1:5" ht="15">
      <c r="A28" s="2" t="s">
        <v>164</v>
      </c>
      <c r="B28" s="2" t="s">
        <v>148</v>
      </c>
      <c r="C28" s="2" t="s">
        <v>34</v>
      </c>
      <c r="D28" s="2" t="s">
        <v>233</v>
      </c>
      <c r="E28" s="2">
        <v>90</v>
      </c>
    </row>
    <row r="29" spans="1:5" ht="15">
      <c r="A29" s="2" t="s">
        <v>164</v>
      </c>
      <c r="B29" s="2" t="s">
        <v>145</v>
      </c>
      <c r="C29" s="2" t="s">
        <v>34</v>
      </c>
      <c r="D29" s="2" t="s">
        <v>234</v>
      </c>
      <c r="E29" s="2">
        <v>70</v>
      </c>
    </row>
    <row r="30" spans="1:5" ht="15">
      <c r="A30" s="2" t="s">
        <v>164</v>
      </c>
      <c r="B30" s="2" t="s">
        <v>214</v>
      </c>
      <c r="C30" s="2" t="s">
        <v>34</v>
      </c>
      <c r="D30" s="2" t="s">
        <v>235</v>
      </c>
      <c r="E30" s="2">
        <v>50</v>
      </c>
    </row>
    <row r="31" spans="1:5" ht="15">
      <c r="A31" s="2" t="s">
        <v>164</v>
      </c>
      <c r="B31" s="2" t="s">
        <v>216</v>
      </c>
      <c r="C31" s="2" t="s">
        <v>34</v>
      </c>
      <c r="D31" s="2" t="s">
        <v>236</v>
      </c>
      <c r="E31" s="2">
        <v>25</v>
      </c>
    </row>
    <row r="32" spans="1:5" ht="15">
      <c r="A32" s="2" t="s">
        <v>164</v>
      </c>
      <c r="B32" s="2" t="s">
        <v>218</v>
      </c>
      <c r="C32" s="2" t="s">
        <v>34</v>
      </c>
      <c r="D32" s="2" t="s">
        <v>237</v>
      </c>
      <c r="E32" s="2">
        <v>5</v>
      </c>
    </row>
    <row r="33" spans="1:5" ht="15">
      <c r="A33" s="2" t="s">
        <v>164</v>
      </c>
      <c r="B33" s="2" t="s">
        <v>142</v>
      </c>
      <c r="C33" s="2" t="s">
        <v>34</v>
      </c>
      <c r="D33" s="2" t="s">
        <v>238</v>
      </c>
      <c r="E33" s="2">
        <v>75</v>
      </c>
    </row>
    <row r="34" spans="1:5" ht="15">
      <c r="A34" s="2" t="s">
        <v>183</v>
      </c>
      <c r="B34" s="2" t="s">
        <v>148</v>
      </c>
      <c r="C34" s="2" t="s">
        <v>34</v>
      </c>
      <c r="D34" s="2" t="s">
        <v>239</v>
      </c>
      <c r="E34" s="2">
        <v>90</v>
      </c>
    </row>
    <row r="35" spans="1:5" ht="15">
      <c r="A35" s="2" t="s">
        <v>183</v>
      </c>
      <c r="B35" s="2" t="s">
        <v>145</v>
      </c>
      <c r="C35" s="2" t="s">
        <v>34</v>
      </c>
      <c r="D35" s="2" t="s">
        <v>240</v>
      </c>
      <c r="E35" s="2">
        <v>70</v>
      </c>
    </row>
    <row r="36" spans="1:5" ht="15">
      <c r="A36" s="2" t="s">
        <v>183</v>
      </c>
      <c r="B36" s="2" t="s">
        <v>214</v>
      </c>
      <c r="C36" s="2" t="s">
        <v>34</v>
      </c>
      <c r="D36" s="2" t="s">
        <v>241</v>
      </c>
      <c r="E36" s="2">
        <v>50</v>
      </c>
    </row>
    <row r="37" spans="1:5" ht="15">
      <c r="A37" s="2" t="s">
        <v>183</v>
      </c>
      <c r="B37" s="2" t="s">
        <v>216</v>
      </c>
      <c r="C37" s="2" t="s">
        <v>34</v>
      </c>
      <c r="D37" s="2" t="s">
        <v>242</v>
      </c>
      <c r="E37" s="2">
        <v>25</v>
      </c>
    </row>
    <row r="38" spans="1:5" ht="15">
      <c r="A38" s="2" t="s">
        <v>183</v>
      </c>
      <c r="B38" s="2" t="s">
        <v>218</v>
      </c>
      <c r="C38" s="2" t="s">
        <v>34</v>
      </c>
      <c r="D38" s="2" t="s">
        <v>243</v>
      </c>
      <c r="E38" s="2">
        <v>5</v>
      </c>
    </row>
    <row r="39" spans="1:5" ht="15">
      <c r="A39" s="2" t="s">
        <v>183</v>
      </c>
      <c r="B39" s="2" t="s">
        <v>142</v>
      </c>
      <c r="C39" s="2" t="s">
        <v>34</v>
      </c>
      <c r="D39" s="2" t="s">
        <v>244</v>
      </c>
      <c r="E39" s="2">
        <v>75</v>
      </c>
    </row>
    <row r="40" spans="1:5" ht="15">
      <c r="A40" s="2" t="s">
        <v>149</v>
      </c>
      <c r="B40" s="2" t="s">
        <v>245</v>
      </c>
      <c r="C40" s="2" t="s">
        <v>32</v>
      </c>
      <c r="D40" s="2" t="s">
        <v>246</v>
      </c>
      <c r="E40" s="2">
        <v>85</v>
      </c>
    </row>
    <row r="41" spans="1:5" ht="15">
      <c r="A41" s="2" t="s">
        <v>149</v>
      </c>
      <c r="B41" s="2" t="s">
        <v>151</v>
      </c>
      <c r="C41" s="2" t="s">
        <v>32</v>
      </c>
      <c r="D41" s="2" t="s">
        <v>247</v>
      </c>
      <c r="E41" s="2">
        <v>70</v>
      </c>
    </row>
    <row r="42" spans="1:5" ht="15">
      <c r="A42" s="2" t="s">
        <v>149</v>
      </c>
      <c r="B42" s="2" t="s">
        <v>248</v>
      </c>
      <c r="C42" s="2" t="s">
        <v>32</v>
      </c>
      <c r="D42" s="2" t="s">
        <v>249</v>
      </c>
      <c r="E42" s="2">
        <v>35</v>
      </c>
    </row>
    <row r="43" spans="1:5" ht="15">
      <c r="A43" s="2" t="s">
        <v>149</v>
      </c>
      <c r="B43" s="2" t="s">
        <v>250</v>
      </c>
      <c r="C43" s="2" t="s">
        <v>32</v>
      </c>
      <c r="D43" s="2" t="s">
        <v>251</v>
      </c>
      <c r="E43" s="2">
        <v>10</v>
      </c>
    </row>
    <row r="44" spans="1:5" ht="15">
      <c r="A44" s="2" t="s">
        <v>149</v>
      </c>
      <c r="B44" s="2" t="s">
        <v>142</v>
      </c>
      <c r="C44" s="2" t="s">
        <v>32</v>
      </c>
      <c r="D44" s="2" t="s">
        <v>252</v>
      </c>
      <c r="E44" s="2">
        <v>75</v>
      </c>
    </row>
    <row r="45" spans="1:5" ht="15">
      <c r="A45" s="2" t="s">
        <v>152</v>
      </c>
      <c r="B45" s="2" t="s">
        <v>253</v>
      </c>
      <c r="C45" s="2" t="s">
        <v>33</v>
      </c>
      <c r="D45" s="2" t="s">
        <v>254</v>
      </c>
      <c r="E45" s="2">
        <v>0</v>
      </c>
    </row>
    <row r="46" spans="1:5" ht="15">
      <c r="A46" s="2" t="s">
        <v>152</v>
      </c>
      <c r="B46" s="2" t="s">
        <v>255</v>
      </c>
      <c r="C46" s="2" t="s">
        <v>33</v>
      </c>
      <c r="D46" s="2" t="s">
        <v>256</v>
      </c>
      <c r="E46" s="2">
        <v>45</v>
      </c>
    </row>
    <row r="47" spans="1:5" ht="15">
      <c r="A47" s="2" t="s">
        <v>152</v>
      </c>
      <c r="B47" s="2" t="s">
        <v>187</v>
      </c>
      <c r="C47" s="2" t="s">
        <v>33</v>
      </c>
      <c r="D47" s="2" t="s">
        <v>257</v>
      </c>
      <c r="E47" s="2">
        <v>85</v>
      </c>
    </row>
    <row r="48" spans="1:5" ht="15">
      <c r="A48" s="2" t="s">
        <v>152</v>
      </c>
      <c r="B48" s="2" t="s">
        <v>142</v>
      </c>
      <c r="C48" s="2" t="s">
        <v>33</v>
      </c>
      <c r="D48" s="2" t="s">
        <v>258</v>
      </c>
      <c r="E48" s="2">
        <v>75</v>
      </c>
    </row>
    <row r="49" spans="1:5" ht="15">
      <c r="A49" s="2" t="s">
        <v>155</v>
      </c>
      <c r="B49" s="2" t="s">
        <v>259</v>
      </c>
      <c r="C49" s="2" t="s">
        <v>33</v>
      </c>
      <c r="D49" s="2" t="s">
        <v>260</v>
      </c>
      <c r="E49" s="2">
        <v>5</v>
      </c>
    </row>
    <row r="50" spans="1:5" ht="15">
      <c r="A50" s="2" t="s">
        <v>155</v>
      </c>
      <c r="B50" s="2" t="s">
        <v>261</v>
      </c>
      <c r="C50" s="2" t="s">
        <v>33</v>
      </c>
      <c r="D50" s="2" t="s">
        <v>262</v>
      </c>
      <c r="E50" s="2">
        <v>35</v>
      </c>
    </row>
    <row r="51" spans="1:5" ht="15">
      <c r="A51" s="2" t="s">
        <v>155</v>
      </c>
      <c r="B51" s="2" t="s">
        <v>263</v>
      </c>
      <c r="C51" s="2" t="s">
        <v>33</v>
      </c>
      <c r="D51" s="2" t="s">
        <v>264</v>
      </c>
      <c r="E51" s="2">
        <v>75</v>
      </c>
    </row>
    <row r="52" spans="1:5" ht="15">
      <c r="A52" s="2" t="s">
        <v>155</v>
      </c>
      <c r="B52" s="2" t="s">
        <v>142</v>
      </c>
      <c r="C52" s="2" t="s">
        <v>33</v>
      </c>
      <c r="D52" s="2" t="s">
        <v>265</v>
      </c>
      <c r="E52" s="2">
        <v>65</v>
      </c>
    </row>
    <row r="53" spans="1:5" ht="15">
      <c r="A53" s="2" t="s">
        <v>158</v>
      </c>
      <c r="B53" s="2" t="s">
        <v>266</v>
      </c>
      <c r="C53" s="2" t="s">
        <v>31</v>
      </c>
      <c r="D53" s="2" t="s">
        <v>267</v>
      </c>
      <c r="E53" s="2">
        <v>10</v>
      </c>
    </row>
    <row r="54" spans="1:5" ht="15">
      <c r="A54" s="2" t="s">
        <v>158</v>
      </c>
      <c r="B54" s="2" t="s">
        <v>268</v>
      </c>
      <c r="C54" s="2" t="s">
        <v>31</v>
      </c>
      <c r="D54" s="2" t="s">
        <v>269</v>
      </c>
      <c r="E54" s="2">
        <v>40</v>
      </c>
    </row>
    <row r="55" spans="1:5" ht="15">
      <c r="A55" s="2" t="s">
        <v>158</v>
      </c>
      <c r="B55" s="2" t="s">
        <v>160</v>
      </c>
      <c r="C55" s="2" t="s">
        <v>31</v>
      </c>
      <c r="D55" s="2" t="s">
        <v>270</v>
      </c>
      <c r="E55" s="2">
        <v>70</v>
      </c>
    </row>
    <row r="56" spans="1:5" ht="15">
      <c r="A56" s="2" t="s">
        <v>158</v>
      </c>
      <c r="B56" s="2" t="s">
        <v>271</v>
      </c>
      <c r="C56" s="2" t="s">
        <v>31</v>
      </c>
      <c r="D56" s="2" t="s">
        <v>272</v>
      </c>
      <c r="E56" s="2">
        <v>90</v>
      </c>
    </row>
    <row r="57" spans="1:5" ht="15">
      <c r="A57" s="2" t="s">
        <v>166</v>
      </c>
      <c r="B57" s="2" t="s">
        <v>273</v>
      </c>
      <c r="C57" s="2" t="s">
        <v>31</v>
      </c>
      <c r="D57" s="2" t="s">
        <v>274</v>
      </c>
      <c r="E57" s="2">
        <v>5</v>
      </c>
    </row>
    <row r="58" spans="1:5" ht="15">
      <c r="A58" s="2" t="s">
        <v>166</v>
      </c>
      <c r="B58" s="2" t="s">
        <v>208</v>
      </c>
      <c r="C58" s="2" t="s">
        <v>31</v>
      </c>
      <c r="D58" s="2" t="s">
        <v>275</v>
      </c>
      <c r="E58" s="2">
        <v>45</v>
      </c>
    </row>
    <row r="59" spans="1:5" ht="15">
      <c r="A59" s="2" t="s">
        <v>166</v>
      </c>
      <c r="B59" s="2" t="s">
        <v>168</v>
      </c>
      <c r="C59" s="2" t="s">
        <v>31</v>
      </c>
      <c r="D59" s="2" t="s">
        <v>276</v>
      </c>
      <c r="E59" s="2">
        <v>80</v>
      </c>
    </row>
    <row r="60" spans="1:5" ht="15">
      <c r="A60" s="2" t="s">
        <v>166</v>
      </c>
      <c r="B60" s="2" t="s">
        <v>142</v>
      </c>
      <c r="C60" s="2" t="s">
        <v>31</v>
      </c>
      <c r="D60" s="2" t="s">
        <v>277</v>
      </c>
      <c r="E60" s="2">
        <v>70</v>
      </c>
    </row>
    <row r="61" spans="1:5" ht="15">
      <c r="A61" s="2" t="s">
        <v>169</v>
      </c>
      <c r="B61" s="2" t="s">
        <v>206</v>
      </c>
      <c r="C61" s="2" t="s">
        <v>35</v>
      </c>
      <c r="D61" s="2" t="s">
        <v>278</v>
      </c>
      <c r="E61" s="2">
        <v>5</v>
      </c>
    </row>
    <row r="62" spans="1:5" ht="15">
      <c r="A62" s="2" t="s">
        <v>169</v>
      </c>
      <c r="B62" s="2" t="s">
        <v>208</v>
      </c>
      <c r="C62" s="2" t="s">
        <v>35</v>
      </c>
      <c r="D62" s="2" t="s">
        <v>279</v>
      </c>
      <c r="E62" s="2">
        <v>45</v>
      </c>
    </row>
    <row r="63" spans="1:5" ht="15">
      <c r="A63" s="2" t="s">
        <v>169</v>
      </c>
      <c r="B63" s="2" t="s">
        <v>187</v>
      </c>
      <c r="C63" s="2" t="s">
        <v>35</v>
      </c>
      <c r="D63" s="2" t="s">
        <v>280</v>
      </c>
      <c r="E63" s="2">
        <v>85</v>
      </c>
    </row>
    <row r="64" spans="1:5" ht="15">
      <c r="A64" s="2" t="s">
        <v>169</v>
      </c>
      <c r="B64" s="2" t="s">
        <v>142</v>
      </c>
      <c r="C64" s="2" t="s">
        <v>35</v>
      </c>
      <c r="D64" s="2" t="s">
        <v>281</v>
      </c>
      <c r="E64" s="2">
        <v>70</v>
      </c>
    </row>
    <row r="65" spans="1:5" ht="15">
      <c r="A65" s="2" t="s">
        <v>172</v>
      </c>
      <c r="B65" s="2" t="s">
        <v>282</v>
      </c>
      <c r="C65" s="2" t="s">
        <v>32</v>
      </c>
      <c r="D65" s="2" t="s">
        <v>283</v>
      </c>
      <c r="E65" s="2">
        <v>5</v>
      </c>
    </row>
    <row r="66" spans="1:5" ht="15">
      <c r="A66" s="2" t="s">
        <v>172</v>
      </c>
      <c r="B66" s="2" t="s">
        <v>174</v>
      </c>
      <c r="C66" s="2" t="s">
        <v>32</v>
      </c>
      <c r="D66" s="2" t="s">
        <v>284</v>
      </c>
      <c r="E66" s="2">
        <v>45</v>
      </c>
    </row>
    <row r="67" spans="1:5" ht="15">
      <c r="A67" s="2" t="s">
        <v>172</v>
      </c>
      <c r="B67" s="2" t="s">
        <v>285</v>
      </c>
      <c r="C67" s="2" t="s">
        <v>32</v>
      </c>
      <c r="D67" s="2" t="s">
        <v>286</v>
      </c>
      <c r="E67" s="2">
        <v>80</v>
      </c>
    </row>
    <row r="68" spans="1:5" ht="15">
      <c r="A68" s="2" t="s">
        <v>172</v>
      </c>
      <c r="B68" s="2" t="s">
        <v>142</v>
      </c>
      <c r="C68" s="2" t="s">
        <v>32</v>
      </c>
      <c r="D68" s="2" t="s">
        <v>287</v>
      </c>
      <c r="E68" s="2">
        <v>70</v>
      </c>
    </row>
    <row r="69" spans="1:5" ht="15">
      <c r="A69" s="2" t="s">
        <v>176</v>
      </c>
      <c r="B69" s="2" t="s">
        <v>288</v>
      </c>
      <c r="C69" s="2" t="s">
        <v>31</v>
      </c>
      <c r="D69" s="2" t="s">
        <v>289</v>
      </c>
      <c r="E69" s="2">
        <v>5</v>
      </c>
    </row>
    <row r="70" spans="1:5" ht="15">
      <c r="A70" s="2" t="s">
        <v>176</v>
      </c>
      <c r="B70" s="2" t="s">
        <v>290</v>
      </c>
      <c r="C70" s="2" t="s">
        <v>31</v>
      </c>
      <c r="D70" s="2" t="s">
        <v>291</v>
      </c>
      <c r="E70" s="2">
        <v>45</v>
      </c>
    </row>
    <row r="71" spans="1:5" ht="15">
      <c r="A71" s="2" t="s">
        <v>176</v>
      </c>
      <c r="B71" s="2" t="s">
        <v>178</v>
      </c>
      <c r="C71" s="2" t="s">
        <v>31</v>
      </c>
      <c r="D71" s="2" t="s">
        <v>292</v>
      </c>
      <c r="E71" s="2">
        <v>75</v>
      </c>
    </row>
    <row r="72" spans="1:5" ht="15">
      <c r="A72" s="2" t="s">
        <v>176</v>
      </c>
      <c r="B72" s="2" t="s">
        <v>187</v>
      </c>
      <c r="C72" s="2" t="s">
        <v>31</v>
      </c>
      <c r="D72" s="2" t="s">
        <v>293</v>
      </c>
      <c r="E72" s="2">
        <v>90</v>
      </c>
    </row>
    <row r="73" spans="1:5" ht="15">
      <c r="A73" s="2" t="s">
        <v>180</v>
      </c>
      <c r="B73" s="2" t="s">
        <v>294</v>
      </c>
      <c r="C73" s="2" t="s">
        <v>32</v>
      </c>
      <c r="D73" s="2" t="s">
        <v>295</v>
      </c>
      <c r="E73" s="2">
        <v>5</v>
      </c>
    </row>
    <row r="74" spans="1:5" ht="15">
      <c r="A74" s="2" t="s">
        <v>180</v>
      </c>
      <c r="B74" s="2" t="s">
        <v>182</v>
      </c>
      <c r="C74" s="2" t="s">
        <v>32</v>
      </c>
      <c r="D74" s="2" t="s">
        <v>296</v>
      </c>
      <c r="E74" s="2">
        <v>45</v>
      </c>
    </row>
    <row r="75" spans="1:5" ht="15">
      <c r="A75" s="2" t="s">
        <v>180</v>
      </c>
      <c r="B75" s="2" t="s">
        <v>187</v>
      </c>
      <c r="C75" s="2" t="s">
        <v>32</v>
      </c>
      <c r="D75" s="2" t="s">
        <v>297</v>
      </c>
      <c r="E75" s="2">
        <v>85</v>
      </c>
    </row>
    <row r="76" spans="1:5" ht="15">
      <c r="A76" s="2" t="s">
        <v>180</v>
      </c>
      <c r="B76" s="2" t="s">
        <v>142</v>
      </c>
      <c r="C76" s="2" t="s">
        <v>32</v>
      </c>
      <c r="D76" s="2" t="s">
        <v>298</v>
      </c>
      <c r="E76" s="2">
        <v>70</v>
      </c>
    </row>
    <row r="77" spans="1:5" ht="15">
      <c r="A77" s="2" t="s">
        <v>185</v>
      </c>
      <c r="B77" s="2" t="s">
        <v>206</v>
      </c>
      <c r="C77" s="2" t="s">
        <v>35</v>
      </c>
      <c r="D77" s="2" t="s">
        <v>299</v>
      </c>
      <c r="E77" s="2">
        <v>5</v>
      </c>
    </row>
    <row r="78" spans="1:5" ht="15">
      <c r="A78" s="2" t="s">
        <v>185</v>
      </c>
      <c r="B78" s="2" t="s">
        <v>208</v>
      </c>
      <c r="C78" s="2" t="s">
        <v>35</v>
      </c>
      <c r="D78" s="2" t="s">
        <v>300</v>
      </c>
      <c r="E78" s="2">
        <v>45</v>
      </c>
    </row>
    <row r="79" spans="1:5" ht="15">
      <c r="A79" s="2" t="s">
        <v>185</v>
      </c>
      <c r="B79" s="2" t="s">
        <v>187</v>
      </c>
      <c r="C79" s="2" t="s">
        <v>35</v>
      </c>
      <c r="D79" s="2" t="s">
        <v>301</v>
      </c>
      <c r="E79" s="2">
        <v>85</v>
      </c>
    </row>
    <row r="80" spans="1:5" ht="15">
      <c r="A80" s="2" t="s">
        <v>185</v>
      </c>
      <c r="B80" s="2" t="s">
        <v>142</v>
      </c>
      <c r="C80" s="2" t="s">
        <v>35</v>
      </c>
      <c r="D80" s="2" t="s">
        <v>302</v>
      </c>
      <c r="E80" s="2">
        <v>75</v>
      </c>
    </row>
    <row r="81" spans="1:5" ht="15">
      <c r="A81" s="2" t="s">
        <v>189</v>
      </c>
      <c r="B81" s="2" t="s">
        <v>206</v>
      </c>
      <c r="C81" s="2" t="s">
        <v>31</v>
      </c>
      <c r="D81" s="2" t="s">
        <v>303</v>
      </c>
      <c r="E81" s="2">
        <v>10</v>
      </c>
    </row>
    <row r="82" spans="1:5" ht="15">
      <c r="A82" s="2" t="s">
        <v>189</v>
      </c>
      <c r="B82" s="2" t="s">
        <v>208</v>
      </c>
      <c r="C82" s="2" t="s">
        <v>31</v>
      </c>
      <c r="D82" s="2" t="s">
        <v>304</v>
      </c>
      <c r="E82" s="2">
        <v>55</v>
      </c>
    </row>
    <row r="83" spans="1:5" ht="15">
      <c r="A83" s="2" t="s">
        <v>189</v>
      </c>
      <c r="B83" s="2" t="s">
        <v>187</v>
      </c>
      <c r="C83" s="2" t="s">
        <v>31</v>
      </c>
      <c r="D83" s="2" t="s">
        <v>305</v>
      </c>
      <c r="E83" s="2">
        <v>90</v>
      </c>
    </row>
    <row r="84" spans="1:5" ht="15">
      <c r="A84" s="2" t="s">
        <v>189</v>
      </c>
      <c r="B84" s="2" t="s">
        <v>142</v>
      </c>
      <c r="C84" s="2" t="s">
        <v>31</v>
      </c>
      <c r="D84" s="2" t="s">
        <v>306</v>
      </c>
      <c r="E84" s="2">
        <v>75</v>
      </c>
    </row>
    <row r="85" spans="1:5" ht="15">
      <c r="A85" s="2" t="s">
        <v>191</v>
      </c>
      <c r="B85" s="2" t="s">
        <v>307</v>
      </c>
      <c r="C85" s="2" t="s">
        <v>31</v>
      </c>
      <c r="D85" s="2" t="s">
        <v>308</v>
      </c>
      <c r="E85" s="2">
        <v>10</v>
      </c>
    </row>
    <row r="86" spans="1:5" ht="15">
      <c r="A86" s="2" t="s">
        <v>191</v>
      </c>
      <c r="B86" s="2" t="s">
        <v>309</v>
      </c>
      <c r="C86" s="2" t="s">
        <v>31</v>
      </c>
      <c r="D86" s="2" t="s">
        <v>310</v>
      </c>
      <c r="E86" s="2">
        <v>30</v>
      </c>
    </row>
    <row r="87" spans="1:5" ht="15">
      <c r="A87" s="2" t="s">
        <v>191</v>
      </c>
      <c r="B87" s="2" t="s">
        <v>193</v>
      </c>
      <c r="C87" s="2" t="s">
        <v>31</v>
      </c>
      <c r="D87" s="2" t="s">
        <v>311</v>
      </c>
      <c r="E87" s="2">
        <v>65</v>
      </c>
    </row>
    <row r="88" spans="1:5" ht="15">
      <c r="A88" s="2" t="s">
        <v>191</v>
      </c>
      <c r="B88" s="2" t="s">
        <v>259</v>
      </c>
      <c r="C88" s="2" t="s">
        <v>31</v>
      </c>
      <c r="D88" s="2" t="s">
        <v>312</v>
      </c>
      <c r="E88" s="2">
        <v>90</v>
      </c>
    </row>
    <row r="89" spans="1:5" ht="15">
      <c r="A89" s="2" t="s">
        <v>191</v>
      </c>
      <c r="B89" s="2" t="s">
        <v>142</v>
      </c>
      <c r="C89" s="2" t="s">
        <v>31</v>
      </c>
      <c r="D89" s="2" t="s">
        <v>313</v>
      </c>
      <c r="E89" s="2">
        <v>75</v>
      </c>
    </row>
    <row r="90" spans="1:5" ht="15">
      <c r="A90" s="2" t="s">
        <v>194</v>
      </c>
      <c r="B90" s="2" t="s">
        <v>314</v>
      </c>
      <c r="C90" s="2" t="s">
        <v>32</v>
      </c>
      <c r="D90" s="2" t="s">
        <v>315</v>
      </c>
      <c r="E90" s="2">
        <v>5</v>
      </c>
    </row>
    <row r="91" spans="1:5" ht="15">
      <c r="A91" s="2" t="s">
        <v>194</v>
      </c>
      <c r="B91" s="2" t="s">
        <v>196</v>
      </c>
      <c r="C91" s="2" t="s">
        <v>32</v>
      </c>
      <c r="D91" s="2" t="s">
        <v>316</v>
      </c>
      <c r="E91" s="2">
        <v>65</v>
      </c>
    </row>
    <row r="92" spans="1:5" ht="15">
      <c r="A92" s="2" t="s">
        <v>194</v>
      </c>
      <c r="B92" s="2" t="s">
        <v>317</v>
      </c>
      <c r="C92" s="2" t="s">
        <v>32</v>
      </c>
      <c r="D92" s="2" t="s">
        <v>318</v>
      </c>
      <c r="E92" s="2">
        <v>75</v>
      </c>
    </row>
    <row r="93" spans="1:5" ht="15">
      <c r="A93" s="2" t="s">
        <v>194</v>
      </c>
      <c r="B93" s="2" t="s">
        <v>319</v>
      </c>
      <c r="C93" s="2" t="s">
        <v>32</v>
      </c>
      <c r="D93" s="2" t="s">
        <v>320</v>
      </c>
      <c r="E93" s="2">
        <v>90</v>
      </c>
    </row>
    <row r="94" spans="1:5" ht="15">
      <c r="A94" s="2" t="s">
        <v>194</v>
      </c>
      <c r="B94" s="2" t="s">
        <v>142</v>
      </c>
      <c r="C94" s="2" t="s">
        <v>32</v>
      </c>
      <c r="D94" s="2" t="s">
        <v>321</v>
      </c>
      <c r="E94" s="2">
        <v>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workbookViewId="0"/>
  </sheetViews>
  <sheetFormatPr baseColWidth="10" defaultColWidth="8.83203125" defaultRowHeight="14"/>
  <cols>
    <col min="1" max="1" width="44" customWidth="1"/>
    <col min="2" max="2" width="18" customWidth="1"/>
    <col min="3" max="3" width="14" customWidth="1"/>
    <col min="4" max="4" width="70" customWidth="1"/>
  </cols>
  <sheetData>
    <row r="1" spans="1:4" ht="16">
      <c r="A1" s="3" t="s">
        <v>322</v>
      </c>
      <c r="B1" s="3" t="s">
        <v>323</v>
      </c>
      <c r="C1" s="3" t="s">
        <v>324</v>
      </c>
      <c r="D1" s="3" t="s">
        <v>325</v>
      </c>
    </row>
    <row r="2" spans="1:4" ht="15">
      <c r="A2" s="2" t="s">
        <v>326</v>
      </c>
      <c r="B2" s="9">
        <v>0.01</v>
      </c>
      <c r="C2" s="2" t="s">
        <v>327</v>
      </c>
      <c r="D2" s="2" t="s">
        <v>328</v>
      </c>
    </row>
    <row r="3" spans="1:4" ht="15">
      <c r="A3" s="2" t="s">
        <v>329</v>
      </c>
      <c r="B3" s="9">
        <v>2.5000000000000001E-2</v>
      </c>
      <c r="C3" s="2" t="s">
        <v>327</v>
      </c>
      <c r="D3" s="2" t="s">
        <v>330</v>
      </c>
    </row>
    <row r="4" spans="1:4" ht="15">
      <c r="A4" s="2" t="s">
        <v>331</v>
      </c>
      <c r="B4" s="9">
        <v>1.4999999999999999E-2</v>
      </c>
      <c r="C4" s="2" t="s">
        <v>327</v>
      </c>
      <c r="D4" s="2" t="s">
        <v>332</v>
      </c>
    </row>
    <row r="5" spans="1:4" ht="15">
      <c r="A5" s="2" t="s">
        <v>333</v>
      </c>
      <c r="B5" s="9">
        <v>0.03</v>
      </c>
      <c r="C5" s="2" t="s">
        <v>327</v>
      </c>
      <c r="D5" s="2" t="s">
        <v>334</v>
      </c>
    </row>
    <row r="6" spans="1:4" ht="15">
      <c r="A6" s="2" t="s">
        <v>335</v>
      </c>
      <c r="B6" s="9">
        <v>7.0000000000000001E-3</v>
      </c>
      <c r="C6" s="2" t="s">
        <v>327</v>
      </c>
      <c r="D6" s="2" t="s">
        <v>336</v>
      </c>
    </row>
    <row r="7" spans="1:4" ht="15">
      <c r="A7" s="2" t="s">
        <v>337</v>
      </c>
      <c r="B7" s="9">
        <v>5.0000000000000001E-3</v>
      </c>
      <c r="C7" s="2" t="s">
        <v>327</v>
      </c>
      <c r="D7" s="2" t="s">
        <v>338</v>
      </c>
    </row>
    <row r="8" spans="1:4" ht="15">
      <c r="A8" s="2" t="s">
        <v>339</v>
      </c>
      <c r="B8" s="9">
        <v>4.0000000000000001E-3</v>
      </c>
      <c r="C8" s="2" t="s">
        <v>327</v>
      </c>
      <c r="D8" s="2" t="s">
        <v>340</v>
      </c>
    </row>
    <row r="9" spans="1:4" ht="15">
      <c r="A9" s="2" t="s">
        <v>341</v>
      </c>
      <c r="B9" s="9">
        <v>3.0000000000000001E-3</v>
      </c>
      <c r="C9" s="2" t="s">
        <v>327</v>
      </c>
      <c r="D9" s="2" t="s">
        <v>342</v>
      </c>
    </row>
    <row r="10" spans="1:4" ht="15">
      <c r="A10" s="2" t="s">
        <v>343</v>
      </c>
      <c r="B10" s="9">
        <v>0.03</v>
      </c>
      <c r="C10" s="2" t="s">
        <v>327</v>
      </c>
      <c r="D10" s="2" t="s">
        <v>344</v>
      </c>
    </row>
    <row r="11" spans="1:4" ht="15">
      <c r="A11" s="2" t="s">
        <v>345</v>
      </c>
      <c r="B11" s="9">
        <v>2.5000000000000001E-2</v>
      </c>
      <c r="C11" s="2" t="s">
        <v>327</v>
      </c>
      <c r="D11" s="2" t="s">
        <v>346</v>
      </c>
    </row>
    <row r="12" spans="1:4" ht="30">
      <c r="A12" s="2" t="s">
        <v>347</v>
      </c>
      <c r="B12" s="9">
        <v>0.01</v>
      </c>
      <c r="C12" s="2" t="s">
        <v>327</v>
      </c>
      <c r="D12" s="2" t="s">
        <v>348</v>
      </c>
    </row>
    <row r="13" spans="1:4" ht="15">
      <c r="A13" s="2" t="s">
        <v>349</v>
      </c>
      <c r="B13" s="9">
        <v>8.0000000000000002E-3</v>
      </c>
      <c r="C13" s="2" t="s">
        <v>327</v>
      </c>
      <c r="D13" s="2" t="s">
        <v>350</v>
      </c>
    </row>
    <row r="14" spans="1:4" ht="15">
      <c r="A14" s="2" t="s">
        <v>351</v>
      </c>
      <c r="B14" s="9">
        <v>0.02</v>
      </c>
      <c r="C14" s="2" t="s">
        <v>327</v>
      </c>
      <c r="D14" s="2" t="s">
        <v>352</v>
      </c>
    </row>
    <row r="15" spans="1:4" ht="15">
      <c r="A15" s="2" t="s">
        <v>353</v>
      </c>
      <c r="B15" s="9">
        <v>5.0000000000000001E-3</v>
      </c>
      <c r="C15" s="2" t="s">
        <v>327</v>
      </c>
      <c r="D15" s="2" t="s">
        <v>354</v>
      </c>
    </row>
    <row r="16" spans="1:4" ht="15">
      <c r="A16" s="2" t="s">
        <v>355</v>
      </c>
      <c r="B16" s="9">
        <v>1.4999999999999999E-2</v>
      </c>
      <c r="C16" s="2" t="s">
        <v>327</v>
      </c>
      <c r="D16" s="2" t="s">
        <v>356</v>
      </c>
    </row>
    <row r="17" spans="1:4" ht="15">
      <c r="A17" s="2" t="s">
        <v>357</v>
      </c>
      <c r="B17" s="9">
        <v>0.03</v>
      </c>
      <c r="C17" s="2" t="s">
        <v>327</v>
      </c>
      <c r="D17" s="2" t="s">
        <v>358</v>
      </c>
    </row>
    <row r="18" spans="1:4" ht="15">
      <c r="A18" s="2" t="s">
        <v>359</v>
      </c>
      <c r="B18" s="9">
        <v>0.03</v>
      </c>
      <c r="C18" s="2" t="s">
        <v>327</v>
      </c>
      <c r="D18" s="2" t="s">
        <v>360</v>
      </c>
    </row>
    <row r="19" spans="1:4" ht="15">
      <c r="A19" s="2" t="s">
        <v>361</v>
      </c>
      <c r="B19" s="9">
        <v>0.05</v>
      </c>
      <c r="C19" s="2" t="s">
        <v>327</v>
      </c>
      <c r="D19" s="2" t="s">
        <v>362</v>
      </c>
    </row>
    <row r="20" spans="1:4" ht="15">
      <c r="A20" s="2" t="s">
        <v>363</v>
      </c>
      <c r="B20" s="9">
        <v>0.05</v>
      </c>
      <c r="C20" s="2" t="s">
        <v>327</v>
      </c>
      <c r="D20" s="2" t="s">
        <v>364</v>
      </c>
    </row>
    <row r="21" spans="1:4" ht="15">
      <c r="A21" s="2" t="s">
        <v>365</v>
      </c>
      <c r="B21" s="9">
        <v>0.04</v>
      </c>
      <c r="C21" s="2" t="s">
        <v>327</v>
      </c>
      <c r="D21" s="2" t="s">
        <v>366</v>
      </c>
    </row>
    <row r="22" spans="1:4" ht="30">
      <c r="A22" s="2" t="s">
        <v>367</v>
      </c>
      <c r="B22" s="9">
        <v>0.02</v>
      </c>
      <c r="C22" s="2" t="s">
        <v>327</v>
      </c>
      <c r="D22" s="2" t="s">
        <v>368</v>
      </c>
    </row>
    <row r="23" spans="1:4" ht="15">
      <c r="A23" s="2" t="s">
        <v>369</v>
      </c>
      <c r="B23" s="9">
        <v>0.04</v>
      </c>
      <c r="C23" s="2" t="s">
        <v>327</v>
      </c>
      <c r="D23" s="2" t="s">
        <v>370</v>
      </c>
    </row>
    <row r="24" spans="1:4" ht="15">
      <c r="A24" s="2" t="s">
        <v>371</v>
      </c>
      <c r="B24" s="9">
        <v>0.01</v>
      </c>
      <c r="C24" s="2" t="s">
        <v>327</v>
      </c>
      <c r="D24" s="2" t="s">
        <v>372</v>
      </c>
    </row>
    <row r="25" spans="1:4" ht="15">
      <c r="A25" s="2" t="s">
        <v>373</v>
      </c>
      <c r="B25" s="11">
        <v>500</v>
      </c>
      <c r="C25" s="2" t="s">
        <v>374</v>
      </c>
      <c r="D25" s="2" t="s">
        <v>375</v>
      </c>
    </row>
    <row r="26" spans="1:4" ht="15">
      <c r="A26" s="2" t="s">
        <v>376</v>
      </c>
      <c r="B26" s="10">
        <v>50000000</v>
      </c>
      <c r="C26" s="2" t="s">
        <v>377</v>
      </c>
      <c r="D26" s="2" t="s">
        <v>378</v>
      </c>
    </row>
    <row r="27" spans="1:4" ht="15">
      <c r="A27" s="2" t="s">
        <v>379</v>
      </c>
      <c r="B27" s="11">
        <v>2000</v>
      </c>
      <c r="C27" s="2" t="s">
        <v>374</v>
      </c>
      <c r="D27" s="2" t="s">
        <v>380</v>
      </c>
    </row>
    <row r="28" spans="1:4" ht="15">
      <c r="A28" s="2" t="s">
        <v>381</v>
      </c>
      <c r="B28" s="11">
        <v>9</v>
      </c>
      <c r="C28" s="2" t="s">
        <v>374</v>
      </c>
      <c r="D28" s="2" t="s">
        <v>382</v>
      </c>
    </row>
    <row r="29" spans="1:4" ht="15">
      <c r="A29" s="2" t="s">
        <v>383</v>
      </c>
      <c r="B29" s="11">
        <v>4</v>
      </c>
      <c r="C29" s="2" t="s">
        <v>374</v>
      </c>
      <c r="D29" s="2" t="s">
        <v>384</v>
      </c>
    </row>
    <row r="30" spans="1:4" ht="15">
      <c r="A30" s="2" t="s">
        <v>385</v>
      </c>
      <c r="B30" s="9">
        <v>0.06</v>
      </c>
      <c r="C30" s="2" t="s">
        <v>327</v>
      </c>
      <c r="D30" s="2" t="s">
        <v>386</v>
      </c>
    </row>
    <row r="31" spans="1:4" ht="15">
      <c r="A31" s="2" t="s">
        <v>387</v>
      </c>
      <c r="B31" s="9">
        <v>0.12</v>
      </c>
      <c r="C31" s="2" t="s">
        <v>327</v>
      </c>
      <c r="D31" s="2" t="s">
        <v>388</v>
      </c>
    </row>
    <row r="32" spans="1:4" ht="15">
      <c r="A32" s="2" t="s">
        <v>389</v>
      </c>
      <c r="B32" s="9">
        <v>0.2</v>
      </c>
      <c r="C32" s="2" t="s">
        <v>327</v>
      </c>
      <c r="D32" s="2" t="s">
        <v>390</v>
      </c>
    </row>
    <row r="33" spans="1:4" ht="15">
      <c r="A33" s="2" t="s">
        <v>391</v>
      </c>
      <c r="B33" s="9">
        <v>0.45</v>
      </c>
      <c r="C33" s="2" t="s">
        <v>327</v>
      </c>
      <c r="D33" s="2" t="s">
        <v>392</v>
      </c>
    </row>
    <row r="34" spans="1:4" ht="15">
      <c r="A34" s="2" t="s">
        <v>393</v>
      </c>
      <c r="B34" s="9">
        <v>0.65</v>
      </c>
      <c r="C34" s="2" t="s">
        <v>327</v>
      </c>
      <c r="D34" s="2" t="s">
        <v>394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8"/>
  <sheetViews>
    <sheetView workbookViewId="0"/>
  </sheetViews>
  <sheetFormatPr baseColWidth="10" defaultColWidth="8.83203125" defaultRowHeight="14"/>
  <cols>
    <col min="1" max="1" width="38" customWidth="1"/>
    <col min="2" max="2" width="22" customWidth="1"/>
    <col min="3" max="3" width="14" customWidth="1"/>
    <col min="4" max="4" width="72" customWidth="1"/>
  </cols>
  <sheetData>
    <row r="1" spans="1:4" ht="16">
      <c r="A1" s="3" t="s">
        <v>395</v>
      </c>
      <c r="B1" s="3" t="s">
        <v>323</v>
      </c>
      <c r="C1" s="3" t="s">
        <v>324</v>
      </c>
      <c r="D1" s="3" t="s">
        <v>325</v>
      </c>
    </row>
    <row r="2" spans="1:4" ht="15">
      <c r="A2" s="2" t="s">
        <v>396</v>
      </c>
      <c r="B2" s="10">
        <f>Assessment!D9</f>
        <v>480000000</v>
      </c>
      <c r="C2" s="2" t="s">
        <v>377</v>
      </c>
      <c r="D2" s="2" t="s">
        <v>397</v>
      </c>
    </row>
    <row r="3" spans="1:4" ht="15">
      <c r="A3" s="2" t="s">
        <v>398</v>
      </c>
      <c r="B3" s="11">
        <f>Assessment!D7</f>
        <v>1250</v>
      </c>
      <c r="C3" s="2" t="s">
        <v>374</v>
      </c>
      <c r="D3" s="2" t="s">
        <v>399</v>
      </c>
    </row>
    <row r="4" spans="1:4" ht="15">
      <c r="A4" s="2" t="s">
        <v>400</v>
      </c>
      <c r="B4" s="11">
        <f>Assessment!D8</f>
        <v>4000</v>
      </c>
      <c r="C4" s="2" t="s">
        <v>374</v>
      </c>
      <c r="D4" s="2" t="s">
        <v>401</v>
      </c>
    </row>
    <row r="5" spans="1:4" ht="15">
      <c r="A5" s="2" t="s">
        <v>402</v>
      </c>
      <c r="B5" s="11">
        <f>MIN(9,Assessment!D7/50)</f>
        <v>9</v>
      </c>
      <c r="C5" s="2" t="s">
        <v>374</v>
      </c>
      <c r="D5" s="2" t="s">
        <v>403</v>
      </c>
    </row>
    <row r="6" spans="1:4" ht="15">
      <c r="A6" s="2" t="s">
        <v>404</v>
      </c>
      <c r="B6" s="9">
        <f>1-Assessment!D17</f>
        <v>0.65</v>
      </c>
      <c r="C6" s="2" t="s">
        <v>327</v>
      </c>
      <c r="D6" s="2" t="s">
        <v>405</v>
      </c>
    </row>
    <row r="7" spans="1:4" ht="15">
      <c r="A7" s="2" t="s">
        <v>406</v>
      </c>
      <c r="B7" s="9">
        <f>1-Assessment!D18</f>
        <v>0.55000000000000004</v>
      </c>
      <c r="C7" s="2" t="s">
        <v>327</v>
      </c>
      <c r="D7" s="2" t="s">
        <v>407</v>
      </c>
    </row>
    <row r="8" spans="1:4" ht="15">
      <c r="A8" s="2" t="s">
        <v>408</v>
      </c>
      <c r="B8" s="9">
        <f>1-Assessment!D14</f>
        <v>0.35</v>
      </c>
      <c r="C8" s="2" t="s">
        <v>327</v>
      </c>
      <c r="D8" s="2" t="s">
        <v>409</v>
      </c>
    </row>
    <row r="9" spans="1:4" ht="15">
      <c r="A9" s="2" t="s">
        <v>410</v>
      </c>
      <c r="B9" s="9">
        <f>Assessment!D16</f>
        <v>0.6</v>
      </c>
      <c r="C9" s="2" t="s">
        <v>327</v>
      </c>
      <c r="D9" s="2" t="s">
        <v>411</v>
      </c>
    </row>
    <row r="10" spans="1:4" ht="15">
      <c r="A10" s="2" t="s">
        <v>412</v>
      </c>
      <c r="B10" s="9">
        <f>1-Assessment!D19</f>
        <v>0.75</v>
      </c>
      <c r="C10" s="2" t="s">
        <v>327</v>
      </c>
      <c r="D10" s="2" t="s">
        <v>413</v>
      </c>
    </row>
    <row r="11" spans="1:4" ht="15">
      <c r="A11" s="2" t="s">
        <v>414</v>
      </c>
      <c r="B11" s="9">
        <f>Assessment!D20</f>
        <v>0.5</v>
      </c>
      <c r="C11" s="2" t="s">
        <v>327</v>
      </c>
      <c r="D11" s="2" t="s">
        <v>415</v>
      </c>
    </row>
    <row r="12" spans="1:4" ht="15">
      <c r="A12" s="2" t="s">
        <v>416</v>
      </c>
      <c r="B12" s="9">
        <f>MAX(1,ROUNDUP(B3/Assumptions!B29,0))</f>
        <v>313</v>
      </c>
      <c r="C12" s="2" t="s">
        <v>374</v>
      </c>
      <c r="D12" s="2" t="s">
        <v>417</v>
      </c>
    </row>
    <row r="13" spans="1:4" ht="15">
      <c r="A13" s="2" t="s">
        <v>418</v>
      </c>
      <c r="B13" s="9">
        <f>MAX(0,(B12-Assessment!D12)/B12)</f>
        <v>0.97124600638977632</v>
      </c>
      <c r="C13" s="2" t="s">
        <v>327</v>
      </c>
      <c r="D13" s="2" t="s">
        <v>419</v>
      </c>
    </row>
    <row r="14" spans="1:4" ht="15">
      <c r="A14" s="2" t="s">
        <v>420</v>
      </c>
      <c r="B14" s="9">
        <f>1-Assessment!D21</f>
        <v>0.44999999999999996</v>
      </c>
      <c r="C14" s="2" t="s">
        <v>327</v>
      </c>
      <c r="D14" s="2" t="s">
        <v>421</v>
      </c>
    </row>
    <row r="15" spans="1:4" ht="15">
      <c r="A15" s="2" t="s">
        <v>422</v>
      </c>
      <c r="B15" s="9">
        <f>1-Assessment!D22</f>
        <v>0.25</v>
      </c>
      <c r="C15" s="2" t="s">
        <v>327</v>
      </c>
      <c r="D15" s="2" t="s">
        <v>423</v>
      </c>
    </row>
    <row r="16" spans="1:4" ht="15">
      <c r="A16" s="2" t="s">
        <v>424</v>
      </c>
      <c r="B16" s="9">
        <f>AVERAGE(IF(Assessment!D23="YES",1,0),IF(Assessment!D24="YES",1,0),IF(Assessment!D25="YES",1,0),IF(Assessment!D26="YES",1,0),IF(Assessment!D27="YES",1,0))</f>
        <v>0.8</v>
      </c>
      <c r="C16" s="2" t="s">
        <v>327</v>
      </c>
      <c r="D16" s="2" t="s">
        <v>425</v>
      </c>
    </row>
    <row r="17" spans="1:4" ht="15">
      <c r="A17" s="2" t="s">
        <v>426</v>
      </c>
      <c r="B17" s="9">
        <f>MIN(1,B4/Assumptions!B25)</f>
        <v>1</v>
      </c>
      <c r="C17" s="2" t="s">
        <v>327</v>
      </c>
      <c r="D17" s="2" t="s">
        <v>427</v>
      </c>
    </row>
    <row r="18" spans="1:4" ht="15">
      <c r="A18" s="2" t="s">
        <v>428</v>
      </c>
      <c r="B18" s="9">
        <f>MIN(1,B2/Assumptions!B26)</f>
        <v>1</v>
      </c>
      <c r="C18" s="2" t="s">
        <v>327</v>
      </c>
      <c r="D18" s="2" t="s">
        <v>429</v>
      </c>
    </row>
    <row r="19" spans="1:4" ht="15">
      <c r="A19" s="2" t="s">
        <v>430</v>
      </c>
      <c r="B19" s="9">
        <f>MIN(1,B3/Assumptions!B27)</f>
        <v>0.625</v>
      </c>
      <c r="C19" s="2" t="s">
        <v>327</v>
      </c>
      <c r="D19" s="2" t="s">
        <v>431</v>
      </c>
    </row>
    <row r="20" spans="1:4" ht="15">
      <c r="A20" s="2" t="s">
        <v>432</v>
      </c>
      <c r="B20" s="9">
        <f>MIN(1,B5/Assumptions!B28)</f>
        <v>1</v>
      </c>
      <c r="C20" s="2" t="s">
        <v>327</v>
      </c>
      <c r="D20" s="2" t="s">
        <v>433</v>
      </c>
    </row>
    <row r="21" spans="1:4" ht="15">
      <c r="A21" s="2" t="s">
        <v>434</v>
      </c>
      <c r="B21" s="9">
        <f>AVERAGE(B17:B20)</f>
        <v>0.90625</v>
      </c>
      <c r="C21" s="2" t="s">
        <v>327</v>
      </c>
      <c r="D21" s="2" t="s">
        <v>435</v>
      </c>
    </row>
    <row r="22" spans="1:4" ht="15">
      <c r="A22" s="2" t="s">
        <v>436</v>
      </c>
      <c r="B22" s="9">
        <f>Assessment!K37/100</f>
        <v>0.71305732484076434</v>
      </c>
      <c r="C22" s="2" t="s">
        <v>327</v>
      </c>
      <c r="D22" s="2" t="s">
        <v>437</v>
      </c>
    </row>
    <row r="23" spans="1:4" ht="15">
      <c r="A23" s="2" t="s">
        <v>438</v>
      </c>
      <c r="B23" s="9">
        <f>MIN(1,AVERAGE(Assessment!D10:'Assessment'!D11)/MAX(1,B2))</f>
        <v>4.3750000000000004E-3</v>
      </c>
      <c r="C23" s="2" t="s">
        <v>327</v>
      </c>
      <c r="D23" s="2" t="s">
        <v>439</v>
      </c>
    </row>
    <row r="24" spans="1:4" ht="15">
      <c r="A24" s="2" t="s">
        <v>440</v>
      </c>
      <c r="B24" s="9">
        <f>1-(Assessment!D14*Assessment!D15)</f>
        <v>0.87</v>
      </c>
      <c r="C24" s="2" t="s">
        <v>327</v>
      </c>
      <c r="D24" s="2" t="s">
        <v>441</v>
      </c>
    </row>
    <row r="25" spans="1:4" ht="15">
      <c r="A25" s="2" t="s">
        <v>442</v>
      </c>
      <c r="B25" s="9">
        <f>AVERAGE(Assessment!D14,Assessment!D15,Assessment!D21,Assessment!D22)</f>
        <v>0.53750000000000009</v>
      </c>
      <c r="C25" s="2" t="s">
        <v>327</v>
      </c>
      <c r="D25" s="2" t="s">
        <v>443</v>
      </c>
    </row>
    <row r="26" spans="1:4">
      <c r="A26" s="2"/>
      <c r="B26" s="2"/>
      <c r="C26" s="2"/>
      <c r="D26" s="2"/>
    </row>
    <row r="27" spans="1:4" ht="16">
      <c r="A27" s="12" t="s">
        <v>444</v>
      </c>
      <c r="B27" s="12"/>
      <c r="C27" s="12"/>
      <c r="D27" s="12"/>
    </row>
    <row r="28" spans="1:4" ht="15">
      <c r="A28" s="2" t="s">
        <v>445</v>
      </c>
      <c r="B28" s="9">
        <f>MIN(Assumptions!B30,Assumptions!B2+(B9*Assumptions!B3)+(B11*Assumptions!B4)+(B14*Assumptions!B5)+(B15*Assumptions!B6)+(B13*Assumptions!B7)+(B21*Assumptions!B8)+(B16*Assumptions!B9))</f>
        <v>5.8631230031948887E-2</v>
      </c>
      <c r="C28" s="2" t="s">
        <v>327</v>
      </c>
      <c r="D28" s="2" t="s">
        <v>446</v>
      </c>
    </row>
    <row r="29" spans="1:4" ht="15">
      <c r="A29" s="2" t="s">
        <v>447</v>
      </c>
      <c r="B29" s="9">
        <f>MIN(Assumptions!B31,B28+(B6*Assumptions!B10)+(B7*Assumptions!B11)+(B8*Assumptions!B12)+(B10*Assumptions!B13)+(B9*Assumptions!B14)+(B21*Assumptions!B15)+(B16*Assumptions!B16)+(B22*0.03))</f>
        <v>0.12</v>
      </c>
      <c r="C29" s="2" t="s">
        <v>327</v>
      </c>
      <c r="D29" s="2" t="s">
        <v>448</v>
      </c>
    </row>
    <row r="30" spans="1:4" ht="15">
      <c r="A30" s="2" t="s">
        <v>449</v>
      </c>
      <c r="B30" s="9">
        <f>MIN(Assumptions!B32,B29+(B9*Assumptions!B17)+(B11*Assumptions!B18)+(B14*Assumptions!B19)+(B15*Assumptions!B20)+(B6*Assumptions!B21)+(B8*Assumptions!B22)+(B13*Assumptions!B23)+(B16*Assumptions!B24)+(B22*0.04))</f>
        <v>0.2</v>
      </c>
      <c r="C30" s="2" t="s">
        <v>327</v>
      </c>
      <c r="D30" s="2" t="s">
        <v>450</v>
      </c>
    </row>
    <row r="31" spans="1:4" ht="15">
      <c r="A31" s="2" t="s">
        <v>451</v>
      </c>
      <c r="B31" s="10">
        <f>B2*B28</f>
        <v>28142990.415335465</v>
      </c>
      <c r="C31" s="2" t="s">
        <v>377</v>
      </c>
      <c r="D31" s="2" t="s">
        <v>452</v>
      </c>
    </row>
    <row r="32" spans="1:4" ht="15">
      <c r="A32" s="2" t="s">
        <v>453</v>
      </c>
      <c r="B32" s="10">
        <f>B2*B29</f>
        <v>57600000</v>
      </c>
      <c r="C32" s="2" t="s">
        <v>377</v>
      </c>
      <c r="D32" s="2" t="s">
        <v>454</v>
      </c>
    </row>
    <row r="33" spans="1:4" ht="30">
      <c r="A33" s="2" t="s">
        <v>455</v>
      </c>
      <c r="B33" s="10">
        <f>B2*B30</f>
        <v>96000000</v>
      </c>
      <c r="C33" s="2" t="s">
        <v>377</v>
      </c>
      <c r="D33" s="2" t="s">
        <v>456</v>
      </c>
    </row>
    <row r="34" spans="1:4" ht="30">
      <c r="A34" s="2" t="s">
        <v>457</v>
      </c>
      <c r="B34" s="9">
        <f>MAX(0.35,MIN(0.9,B25))</f>
        <v>0.53750000000000009</v>
      </c>
      <c r="C34" s="2" t="s">
        <v>327</v>
      </c>
      <c r="D34" s="2" t="s">
        <v>458</v>
      </c>
    </row>
    <row r="35" spans="1:4" ht="15">
      <c r="A35" s="2" t="s">
        <v>459</v>
      </c>
      <c r="B35" s="10">
        <f>B31*Assumptions!B33</f>
        <v>12664345.68690096</v>
      </c>
      <c r="C35" s="2" t="s">
        <v>377</v>
      </c>
      <c r="D35" s="2" t="s">
        <v>460</v>
      </c>
    </row>
    <row r="36" spans="1:4" ht="15">
      <c r="A36" s="2" t="s">
        <v>461</v>
      </c>
      <c r="B36" s="10">
        <f>B32*Assumptions!B34</f>
        <v>37440000</v>
      </c>
      <c r="C36" s="2" t="s">
        <v>377</v>
      </c>
      <c r="D36" s="2" t="s">
        <v>462</v>
      </c>
    </row>
    <row r="37" spans="1:4" ht="15">
      <c r="A37" s="2" t="s">
        <v>463</v>
      </c>
      <c r="B37" s="10">
        <f>B32/MAX(1,B3)</f>
        <v>46080</v>
      </c>
      <c r="C37" s="2" t="s">
        <v>377</v>
      </c>
      <c r="D37" s="2" t="s">
        <v>464</v>
      </c>
    </row>
    <row r="38" spans="1:4" ht="15">
      <c r="A38" s="2" t="s">
        <v>465</v>
      </c>
      <c r="B38" s="10">
        <f>B2/MAX(1,B3)</f>
        <v>384000</v>
      </c>
      <c r="C38" s="2" t="s">
        <v>377</v>
      </c>
      <c r="D38" s="2" t="s">
        <v>466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sheetViews>
  <sheetFormatPr baseColWidth="10" defaultColWidth="8.83203125" defaultRowHeight="14"/>
  <sheetData>
    <row r="1" spans="1:3" ht="15">
      <c r="A1" s="1" t="s">
        <v>467</v>
      </c>
      <c r="B1" s="1"/>
      <c r="C1" s="1" t="s">
        <v>121</v>
      </c>
    </row>
    <row r="2" spans="1:3">
      <c r="A2" t="s">
        <v>468</v>
      </c>
      <c r="C2" t="s">
        <v>122</v>
      </c>
    </row>
    <row r="3" spans="1:3">
      <c r="A3" t="s">
        <v>469</v>
      </c>
      <c r="C3" t="s">
        <v>131</v>
      </c>
    </row>
    <row r="4" spans="1:3">
      <c r="A4" t="s">
        <v>470</v>
      </c>
    </row>
    <row r="5" spans="1:3">
      <c r="A5" t="s">
        <v>471</v>
      </c>
    </row>
    <row r="6" spans="1:3">
      <c r="A6" t="s">
        <v>472</v>
      </c>
    </row>
    <row r="7" spans="1:3">
      <c r="A7" t="s">
        <v>473</v>
      </c>
    </row>
    <row r="8" spans="1:3">
      <c r="A8" t="s">
        <v>474</v>
      </c>
    </row>
    <row r="9" spans="1:3">
      <c r="A9" t="s">
        <v>475</v>
      </c>
    </row>
    <row r="10" spans="1:3">
      <c r="A10" t="s">
        <v>66</v>
      </c>
    </row>
    <row r="11" spans="1:3">
      <c r="A11" t="s">
        <v>476</v>
      </c>
    </row>
    <row r="12" spans="1:3">
      <c r="A12" t="s">
        <v>477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heetViews>
  <sheetFormatPr baseColWidth="10" defaultColWidth="8.83203125" defaultRowHeight="14"/>
  <cols>
    <col min="1" max="1" width="32" customWidth="1"/>
    <col min="2" max="2" width="88" customWidth="1"/>
  </cols>
  <sheetData>
    <row r="1" spans="1:2" ht="16">
      <c r="A1" s="3" t="s">
        <v>478</v>
      </c>
      <c r="B1" s="3"/>
    </row>
    <row r="2" spans="1:2" ht="15">
      <c r="A2" s="2" t="s">
        <v>479</v>
      </c>
      <c r="B2" s="2" t="s">
        <v>480</v>
      </c>
    </row>
    <row r="3" spans="1:2" ht="15">
      <c r="A3" s="2" t="s">
        <v>481</v>
      </c>
      <c r="B3" s="2" t="s">
        <v>482</v>
      </c>
    </row>
    <row r="4" spans="1:2" ht="45">
      <c r="A4" s="2" t="s">
        <v>483</v>
      </c>
      <c r="B4" s="2" t="s">
        <v>484</v>
      </c>
    </row>
    <row r="5" spans="1:2" ht="30">
      <c r="A5" s="2" t="s">
        <v>485</v>
      </c>
      <c r="B5" s="2" t="s">
        <v>486</v>
      </c>
    </row>
    <row r="6" spans="1:2" ht="30">
      <c r="A6" s="2" t="s">
        <v>487</v>
      </c>
      <c r="B6" s="2" t="s">
        <v>488</v>
      </c>
    </row>
    <row r="7" spans="1:2" ht="30">
      <c r="A7" s="2" t="s">
        <v>489</v>
      </c>
      <c r="B7" s="2" t="s">
        <v>490</v>
      </c>
    </row>
    <row r="8" spans="1:2" ht="30">
      <c r="A8" s="2" t="s">
        <v>491</v>
      </c>
      <c r="B8" s="2" t="s">
        <v>492</v>
      </c>
    </row>
    <row r="9" spans="1:2" ht="15">
      <c r="A9" s="2" t="s">
        <v>493</v>
      </c>
      <c r="B9" s="2" t="s">
        <v>494</v>
      </c>
    </row>
    <row r="10" spans="1:2" ht="15">
      <c r="A10" s="2" t="s">
        <v>495</v>
      </c>
      <c r="B10" s="2" t="s">
        <v>496</v>
      </c>
    </row>
    <row r="11" spans="1:2" ht="15">
      <c r="A11" s="2" t="s">
        <v>497</v>
      </c>
      <c r="B11" s="2" t="s">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Executive Report</vt:lpstr>
      <vt:lpstr>Assessment</vt:lpstr>
      <vt:lpstr>Scoring Model</vt:lpstr>
      <vt:lpstr>Assumptions</vt:lpstr>
      <vt:lpstr>Calculations</vt:lpstr>
      <vt:lpstr>Lists</vt:lpstr>
      <vt:lpstr>Methodology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Wayne Hermanson</cp:lastModifiedBy>
  <dcterms:created xsi:type="dcterms:W3CDTF">2026-06-26T13:30:08Z</dcterms:created>
  <dcterms:modified xsi:type="dcterms:W3CDTF">2026-06-26T13:30:08Z</dcterms:modified>
</cp:coreProperties>
</file>